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holzer/Dev/shopfloor-suite/backend/resources/sample/"/>
    </mc:Choice>
  </mc:AlternateContent>
  <xr:revisionPtr revIDLastSave="0" documentId="13_ncr:1_{D5E21E1D-E31B-9843-80C0-5772913ABF86}" xr6:coauthVersionLast="47" xr6:coauthVersionMax="47" xr10:uidLastSave="{00000000-0000-0000-0000-000000000000}"/>
  <bookViews>
    <workbookView xWindow="38400" yWindow="500" windowWidth="35280" windowHeight="19460" activeTab="1" xr2:uid="{955AB39A-1885-4C11-8DCC-F44F31FC1A68}"/>
  </bookViews>
  <sheets>
    <sheet name="Kapavergleich" sheetId="2" r:id="rId1"/>
    <sheet name="Orders" sheetId="1" r:id="rId2"/>
    <sheet name="Maschinenstamm" sheetId="3" r:id="rId3"/>
  </sheets>
  <definedNames>
    <definedName name="_xlnm._FilterDatabase" localSheetId="1" hidden="1">Orders!$A$1:$T$127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9" i="1" l="1"/>
  <c r="Q109" i="1"/>
  <c r="C110" i="1"/>
  <c r="Q110" i="1"/>
  <c r="C111" i="1"/>
  <c r="Q111" i="1"/>
  <c r="C112" i="1"/>
  <c r="Q112" i="1"/>
  <c r="C113" i="1"/>
  <c r="Q113" i="1"/>
  <c r="C114" i="1"/>
  <c r="Q114" i="1"/>
  <c r="C115" i="1"/>
  <c r="Q115" i="1"/>
  <c r="C116" i="1"/>
  <c r="Q116" i="1"/>
  <c r="C117" i="1"/>
  <c r="Q117" i="1"/>
  <c r="C118" i="1"/>
  <c r="Q118" i="1"/>
  <c r="C119" i="1"/>
  <c r="Q119" i="1"/>
  <c r="C120" i="1"/>
  <c r="Q120" i="1"/>
  <c r="C121" i="1"/>
  <c r="Q121" i="1"/>
  <c r="C122" i="1"/>
  <c r="Q122" i="1"/>
  <c r="C123" i="1"/>
  <c r="Q123" i="1"/>
  <c r="C124" i="1"/>
  <c r="Q124" i="1"/>
  <c r="C125" i="1"/>
  <c r="Q125" i="1"/>
  <c r="C126" i="1"/>
  <c r="Q126" i="1"/>
  <c r="C127" i="1"/>
  <c r="Q127" i="1"/>
  <c r="G108" i="1"/>
  <c r="G109" i="1" s="1"/>
  <c r="Q108" i="1"/>
  <c r="C108" i="1"/>
  <c r="C88" i="1"/>
  <c r="Q88" i="1"/>
  <c r="C89" i="1"/>
  <c r="Q89" i="1"/>
  <c r="C90" i="1"/>
  <c r="Q90" i="1"/>
  <c r="C91" i="1"/>
  <c r="Q91" i="1"/>
  <c r="C92" i="1"/>
  <c r="Q92" i="1"/>
  <c r="C93" i="1"/>
  <c r="Q93" i="1"/>
  <c r="C94" i="1"/>
  <c r="Q94" i="1"/>
  <c r="C95" i="1"/>
  <c r="Q95" i="1"/>
  <c r="C96" i="1"/>
  <c r="Q96" i="1"/>
  <c r="C97" i="1"/>
  <c r="Q97" i="1"/>
  <c r="C98" i="1"/>
  <c r="Q98" i="1"/>
  <c r="C99" i="1"/>
  <c r="Q99" i="1"/>
  <c r="C100" i="1"/>
  <c r="Q100" i="1"/>
  <c r="C101" i="1"/>
  <c r="Q101" i="1"/>
  <c r="C102" i="1"/>
  <c r="Q102" i="1"/>
  <c r="C103" i="1"/>
  <c r="Q103" i="1"/>
  <c r="C104" i="1"/>
  <c r="Q104" i="1"/>
  <c r="C105" i="1"/>
  <c r="Q105" i="1"/>
  <c r="C106" i="1"/>
  <c r="Q106" i="1"/>
  <c r="Q87" i="1"/>
  <c r="G87" i="1"/>
  <c r="F87" i="1" s="1"/>
  <c r="S87" i="1" s="1"/>
  <c r="C87" i="1"/>
  <c r="C67" i="1"/>
  <c r="Q67" i="1"/>
  <c r="C68" i="1"/>
  <c r="Q68" i="1"/>
  <c r="C69" i="1"/>
  <c r="Q69" i="1"/>
  <c r="C70" i="1"/>
  <c r="Q70" i="1"/>
  <c r="C71" i="1"/>
  <c r="Q71" i="1"/>
  <c r="C72" i="1"/>
  <c r="Q72" i="1"/>
  <c r="C73" i="1"/>
  <c r="Q73" i="1"/>
  <c r="C74" i="1"/>
  <c r="Q74" i="1"/>
  <c r="C75" i="1"/>
  <c r="Q75" i="1"/>
  <c r="C76" i="1"/>
  <c r="Q76" i="1"/>
  <c r="C77" i="1"/>
  <c r="Q77" i="1"/>
  <c r="C78" i="1"/>
  <c r="Q78" i="1"/>
  <c r="C79" i="1"/>
  <c r="Q79" i="1"/>
  <c r="C80" i="1"/>
  <c r="Q80" i="1"/>
  <c r="C81" i="1"/>
  <c r="Q81" i="1"/>
  <c r="C82" i="1"/>
  <c r="Q82" i="1"/>
  <c r="C83" i="1"/>
  <c r="Q83" i="1"/>
  <c r="C84" i="1"/>
  <c r="Q84" i="1"/>
  <c r="C85" i="1"/>
  <c r="Q85" i="1"/>
  <c r="G66" i="1"/>
  <c r="F66" i="1" s="1"/>
  <c r="S66" i="1" s="1"/>
  <c r="Q66" i="1"/>
  <c r="C66" i="1"/>
  <c r="C46" i="1"/>
  <c r="Q46" i="1"/>
  <c r="C47" i="1"/>
  <c r="Q47" i="1"/>
  <c r="C48" i="1"/>
  <c r="Q48" i="1"/>
  <c r="C49" i="1"/>
  <c r="Q49" i="1"/>
  <c r="C50" i="1"/>
  <c r="Q50" i="1"/>
  <c r="C51" i="1"/>
  <c r="Q51" i="1"/>
  <c r="C52" i="1"/>
  <c r="Q52" i="1"/>
  <c r="C53" i="1"/>
  <c r="Q53" i="1"/>
  <c r="C54" i="1"/>
  <c r="Q54" i="1"/>
  <c r="C55" i="1"/>
  <c r="Q55" i="1"/>
  <c r="C56" i="1"/>
  <c r="Q56" i="1"/>
  <c r="C57" i="1"/>
  <c r="Q57" i="1"/>
  <c r="C58" i="1"/>
  <c r="Q58" i="1"/>
  <c r="C59" i="1"/>
  <c r="Q59" i="1"/>
  <c r="C60" i="1"/>
  <c r="Q60" i="1"/>
  <c r="C61" i="1"/>
  <c r="Q61" i="1"/>
  <c r="C62" i="1"/>
  <c r="Q62" i="1"/>
  <c r="C63" i="1"/>
  <c r="Q63" i="1"/>
  <c r="C64" i="1"/>
  <c r="Q64" i="1"/>
  <c r="Q45" i="1"/>
  <c r="G45" i="1"/>
  <c r="F45" i="1" s="1"/>
  <c r="S45" i="1" s="1"/>
  <c r="C45" i="1"/>
  <c r="C25" i="1"/>
  <c r="Q25" i="1"/>
  <c r="C26" i="1"/>
  <c r="Q26" i="1"/>
  <c r="C27" i="1"/>
  <c r="Q27" i="1"/>
  <c r="C28" i="1"/>
  <c r="Q28" i="1"/>
  <c r="C29" i="1"/>
  <c r="Q29" i="1"/>
  <c r="C30" i="1"/>
  <c r="Q30" i="1"/>
  <c r="C31" i="1"/>
  <c r="Q31" i="1"/>
  <c r="C32" i="1"/>
  <c r="Q32" i="1"/>
  <c r="C33" i="1"/>
  <c r="Q33" i="1"/>
  <c r="C34" i="1"/>
  <c r="Q34" i="1"/>
  <c r="C35" i="1"/>
  <c r="Q35" i="1"/>
  <c r="C36" i="1"/>
  <c r="Q36" i="1"/>
  <c r="C37" i="1"/>
  <c r="Q37" i="1"/>
  <c r="C38" i="1"/>
  <c r="Q38" i="1"/>
  <c r="C39" i="1"/>
  <c r="Q39" i="1"/>
  <c r="C40" i="1"/>
  <c r="Q40" i="1"/>
  <c r="C41" i="1"/>
  <c r="Q41" i="1"/>
  <c r="C42" i="1"/>
  <c r="Q42" i="1"/>
  <c r="C43" i="1"/>
  <c r="Q43" i="1"/>
  <c r="G24" i="1"/>
  <c r="F24" i="1" s="1"/>
  <c r="S24" i="1" s="1"/>
  <c r="C24" i="1"/>
  <c r="Q24" i="1"/>
  <c r="C107" i="1"/>
  <c r="C86" i="1"/>
  <c r="C65" i="1"/>
  <c r="C44" i="1"/>
  <c r="C23" i="1"/>
  <c r="Q44" i="1"/>
  <c r="Q65" i="1"/>
  <c r="Q86" i="1"/>
  <c r="Q107" i="1"/>
  <c r="Q23" i="1"/>
  <c r="F107" i="1"/>
  <c r="S107" i="1" s="1"/>
  <c r="F86" i="1"/>
  <c r="S86" i="1" s="1"/>
  <c r="F65" i="1"/>
  <c r="S65" i="1" s="1"/>
  <c r="F44" i="1"/>
  <c r="S44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" i="1"/>
  <c r="F23" i="1"/>
  <c r="S23" i="1" s="1"/>
  <c r="G3" i="1"/>
  <c r="F3" i="1" s="1"/>
  <c r="S3" i="1" s="1"/>
  <c r="F2" i="1"/>
  <c r="S2" i="1" s="1"/>
  <c r="G88" i="1" l="1"/>
  <c r="G110" i="1"/>
  <c r="F109" i="1"/>
  <c r="S109" i="1" s="1"/>
  <c r="F108" i="1"/>
  <c r="S108" i="1" s="1"/>
  <c r="G46" i="1"/>
  <c r="G67" i="1"/>
  <c r="G25" i="1"/>
  <c r="G4" i="1"/>
  <c r="F88" i="1" l="1"/>
  <c r="S88" i="1" s="1"/>
  <c r="G89" i="1"/>
  <c r="G47" i="1"/>
  <c r="F46" i="1"/>
  <c r="S46" i="1" s="1"/>
  <c r="G68" i="1"/>
  <c r="F67" i="1"/>
  <c r="S67" i="1" s="1"/>
  <c r="F110" i="1"/>
  <c r="S110" i="1" s="1"/>
  <c r="G111" i="1"/>
  <c r="G26" i="1"/>
  <c r="F25" i="1"/>
  <c r="S25" i="1" s="1"/>
  <c r="F4" i="1"/>
  <c r="S4" i="1" s="1"/>
  <c r="G5" i="1"/>
  <c r="F89" i="1" l="1"/>
  <c r="S89" i="1" s="1"/>
  <c r="G90" i="1"/>
  <c r="G69" i="1"/>
  <c r="F68" i="1"/>
  <c r="S68" i="1" s="1"/>
  <c r="G112" i="1"/>
  <c r="F111" i="1"/>
  <c r="S111" i="1" s="1"/>
  <c r="F47" i="1"/>
  <c r="S47" i="1" s="1"/>
  <c r="G48" i="1"/>
  <c r="F26" i="1"/>
  <c r="S26" i="1" s="1"/>
  <c r="G27" i="1"/>
  <c r="F5" i="1"/>
  <c r="S5" i="1" s="1"/>
  <c r="G6" i="1"/>
  <c r="F90" i="1" l="1"/>
  <c r="S90" i="1" s="1"/>
  <c r="G91" i="1"/>
  <c r="G113" i="1"/>
  <c r="F112" i="1"/>
  <c r="S112" i="1" s="1"/>
  <c r="F48" i="1"/>
  <c r="S48" i="1" s="1"/>
  <c r="G49" i="1"/>
  <c r="G70" i="1"/>
  <c r="F69" i="1"/>
  <c r="S69" i="1" s="1"/>
  <c r="F27" i="1"/>
  <c r="S27" i="1" s="1"/>
  <c r="G28" i="1"/>
  <c r="G7" i="1"/>
  <c r="F6" i="1"/>
  <c r="S6" i="1" s="1"/>
  <c r="G92" i="1" l="1"/>
  <c r="F91" i="1"/>
  <c r="S91" i="1" s="1"/>
  <c r="G50" i="1"/>
  <c r="F49" i="1"/>
  <c r="S49" i="1" s="1"/>
  <c r="G71" i="1"/>
  <c r="F70" i="1"/>
  <c r="S70" i="1" s="1"/>
  <c r="G114" i="1"/>
  <c r="F113" i="1"/>
  <c r="S113" i="1" s="1"/>
  <c r="G29" i="1"/>
  <c r="F28" i="1"/>
  <c r="S28" i="1" s="1"/>
  <c r="G8" i="1"/>
  <c r="F7" i="1"/>
  <c r="S7" i="1" s="1"/>
  <c r="G93" i="1" l="1"/>
  <c r="F92" i="1"/>
  <c r="S92" i="1" s="1"/>
  <c r="F71" i="1"/>
  <c r="S71" i="1" s="1"/>
  <c r="G72" i="1"/>
  <c r="G115" i="1"/>
  <c r="F114" i="1"/>
  <c r="S114" i="1" s="1"/>
  <c r="F50" i="1"/>
  <c r="S50" i="1" s="1"/>
  <c r="G51" i="1"/>
  <c r="F29" i="1"/>
  <c r="S29" i="1" s="1"/>
  <c r="G30" i="1"/>
  <c r="F8" i="1"/>
  <c r="S8" i="1" s="1"/>
  <c r="G9" i="1"/>
  <c r="F93" i="1" l="1"/>
  <c r="S93" i="1" s="1"/>
  <c r="G94" i="1"/>
  <c r="G116" i="1"/>
  <c r="F115" i="1"/>
  <c r="S115" i="1" s="1"/>
  <c r="F51" i="1"/>
  <c r="S51" i="1" s="1"/>
  <c r="G52" i="1"/>
  <c r="G73" i="1"/>
  <c r="F72" i="1"/>
  <c r="S72" i="1" s="1"/>
  <c r="F30" i="1"/>
  <c r="S30" i="1" s="1"/>
  <c r="G31" i="1"/>
  <c r="G10" i="1"/>
  <c r="F9" i="1"/>
  <c r="S9" i="1" s="1"/>
  <c r="F94" i="1" l="1"/>
  <c r="S94" i="1" s="1"/>
  <c r="G95" i="1"/>
  <c r="F52" i="1"/>
  <c r="S52" i="1" s="1"/>
  <c r="G53" i="1"/>
  <c r="G74" i="1"/>
  <c r="F73" i="1"/>
  <c r="S73" i="1" s="1"/>
  <c r="G117" i="1"/>
  <c r="F116" i="1"/>
  <c r="S116" i="1" s="1"/>
  <c r="F31" i="1"/>
  <c r="S31" i="1" s="1"/>
  <c r="G32" i="1"/>
  <c r="F10" i="1"/>
  <c r="S10" i="1" s="1"/>
  <c r="G11" i="1"/>
  <c r="G96" i="1" l="1"/>
  <c r="F95" i="1"/>
  <c r="S95" i="1" s="1"/>
  <c r="G75" i="1"/>
  <c r="F74" i="1"/>
  <c r="S74" i="1" s="1"/>
  <c r="G54" i="1"/>
  <c r="F53" i="1"/>
  <c r="S53" i="1" s="1"/>
  <c r="G118" i="1"/>
  <c r="F117" i="1"/>
  <c r="S117" i="1" s="1"/>
  <c r="G33" i="1"/>
  <c r="F32" i="1"/>
  <c r="S32" i="1" s="1"/>
  <c r="G12" i="1"/>
  <c r="F11" i="1"/>
  <c r="S11" i="1" s="1"/>
  <c r="G97" i="1" l="1"/>
  <c r="F96" i="1"/>
  <c r="S96" i="1" s="1"/>
  <c r="F54" i="1"/>
  <c r="S54" i="1" s="1"/>
  <c r="G55" i="1"/>
  <c r="G119" i="1"/>
  <c r="F118" i="1"/>
  <c r="S118" i="1" s="1"/>
  <c r="G76" i="1"/>
  <c r="F75" i="1"/>
  <c r="S75" i="1" s="1"/>
  <c r="G34" i="1"/>
  <c r="F33" i="1"/>
  <c r="S33" i="1" s="1"/>
  <c r="G13" i="1"/>
  <c r="F12" i="1"/>
  <c r="S12" i="1" s="1"/>
  <c r="F97" i="1" l="1"/>
  <c r="S97" i="1" s="1"/>
  <c r="G98" i="1"/>
  <c r="G120" i="1"/>
  <c r="F119" i="1"/>
  <c r="S119" i="1" s="1"/>
  <c r="F55" i="1"/>
  <c r="S55" i="1" s="1"/>
  <c r="G56" i="1"/>
  <c r="G77" i="1"/>
  <c r="F76" i="1"/>
  <c r="S76" i="1" s="1"/>
  <c r="F34" i="1"/>
  <c r="S34" i="1" s="1"/>
  <c r="G35" i="1"/>
  <c r="G14" i="1"/>
  <c r="F13" i="1"/>
  <c r="S13" i="1" s="1"/>
  <c r="F98" i="1" l="1"/>
  <c r="S98" i="1" s="1"/>
  <c r="G99" i="1"/>
  <c r="F56" i="1"/>
  <c r="S56" i="1" s="1"/>
  <c r="G57" i="1"/>
  <c r="G78" i="1"/>
  <c r="F77" i="1"/>
  <c r="S77" i="1" s="1"/>
  <c r="G121" i="1"/>
  <c r="F120" i="1"/>
  <c r="S120" i="1" s="1"/>
  <c r="F35" i="1"/>
  <c r="S35" i="1" s="1"/>
  <c r="G36" i="1"/>
  <c r="G15" i="1"/>
  <c r="F14" i="1"/>
  <c r="S14" i="1" s="1"/>
  <c r="G100" i="1" l="1"/>
  <c r="F99" i="1"/>
  <c r="S99" i="1" s="1"/>
  <c r="G79" i="1"/>
  <c r="F78" i="1"/>
  <c r="S78" i="1" s="1"/>
  <c r="G58" i="1"/>
  <c r="F57" i="1"/>
  <c r="S57" i="1" s="1"/>
  <c r="G122" i="1"/>
  <c r="F121" i="1"/>
  <c r="S121" i="1" s="1"/>
  <c r="G37" i="1"/>
  <c r="F36" i="1"/>
  <c r="S36" i="1" s="1"/>
  <c r="G16" i="1"/>
  <c r="F15" i="1"/>
  <c r="S15" i="1" s="1"/>
  <c r="G101" i="1" l="1"/>
  <c r="F100" i="1"/>
  <c r="S100" i="1" s="1"/>
  <c r="F58" i="1"/>
  <c r="S58" i="1" s="1"/>
  <c r="G59" i="1"/>
  <c r="G123" i="1"/>
  <c r="F122" i="1"/>
  <c r="S122" i="1" s="1"/>
  <c r="G80" i="1"/>
  <c r="F79" i="1"/>
  <c r="S79" i="1" s="1"/>
  <c r="F37" i="1"/>
  <c r="S37" i="1" s="1"/>
  <c r="G38" i="1"/>
  <c r="G17" i="1"/>
  <c r="F16" i="1"/>
  <c r="S16" i="1" s="1"/>
  <c r="F101" i="1" l="1"/>
  <c r="S101" i="1" s="1"/>
  <c r="G102" i="1"/>
  <c r="G124" i="1"/>
  <c r="F123" i="1"/>
  <c r="S123" i="1" s="1"/>
  <c r="F59" i="1"/>
  <c r="S59" i="1" s="1"/>
  <c r="G60" i="1"/>
  <c r="G81" i="1"/>
  <c r="F80" i="1"/>
  <c r="S80" i="1" s="1"/>
  <c r="F38" i="1"/>
  <c r="S38" i="1" s="1"/>
  <c r="G39" i="1"/>
  <c r="G18" i="1"/>
  <c r="F17" i="1"/>
  <c r="S17" i="1" s="1"/>
  <c r="G103" i="1" l="1"/>
  <c r="F102" i="1"/>
  <c r="S102" i="1" s="1"/>
  <c r="F60" i="1"/>
  <c r="S60" i="1" s="1"/>
  <c r="G61" i="1"/>
  <c r="G82" i="1"/>
  <c r="F81" i="1"/>
  <c r="S81" i="1" s="1"/>
  <c r="G125" i="1"/>
  <c r="F124" i="1"/>
  <c r="S124" i="1" s="1"/>
  <c r="G40" i="1"/>
  <c r="F39" i="1"/>
  <c r="S39" i="1" s="1"/>
  <c r="G19" i="1"/>
  <c r="F18" i="1"/>
  <c r="S18" i="1" s="1"/>
  <c r="G104" i="1" l="1"/>
  <c r="F103" i="1"/>
  <c r="S103" i="1" s="1"/>
  <c r="G83" i="1"/>
  <c r="F82" i="1"/>
  <c r="S82" i="1" s="1"/>
  <c r="G62" i="1"/>
  <c r="F61" i="1"/>
  <c r="S61" i="1" s="1"/>
  <c r="G126" i="1"/>
  <c r="F125" i="1"/>
  <c r="S125" i="1" s="1"/>
  <c r="G41" i="1"/>
  <c r="F40" i="1"/>
  <c r="S40" i="1" s="1"/>
  <c r="G20" i="1"/>
  <c r="F19" i="1"/>
  <c r="S19" i="1" s="1"/>
  <c r="G105" i="1" l="1"/>
  <c r="F104" i="1"/>
  <c r="S104" i="1" s="1"/>
  <c r="F62" i="1"/>
  <c r="S62" i="1" s="1"/>
  <c r="G63" i="1"/>
  <c r="G127" i="1"/>
  <c r="F127" i="1" s="1"/>
  <c r="S127" i="1" s="1"/>
  <c r="F126" i="1"/>
  <c r="S126" i="1" s="1"/>
  <c r="G84" i="1"/>
  <c r="F83" i="1"/>
  <c r="S83" i="1" s="1"/>
  <c r="G42" i="1"/>
  <c r="F41" i="1"/>
  <c r="S41" i="1" s="1"/>
  <c r="G21" i="1"/>
  <c r="F20" i="1"/>
  <c r="S20" i="1" s="1"/>
  <c r="G106" i="1" l="1"/>
  <c r="F106" i="1" s="1"/>
  <c r="S106" i="1" s="1"/>
  <c r="F105" i="1"/>
  <c r="S105" i="1" s="1"/>
  <c r="F63" i="1"/>
  <c r="S63" i="1" s="1"/>
  <c r="G64" i="1"/>
  <c r="F64" i="1" s="1"/>
  <c r="S64" i="1" s="1"/>
  <c r="G85" i="1"/>
  <c r="F85" i="1" s="1"/>
  <c r="S85" i="1" s="1"/>
  <c r="F84" i="1"/>
  <c r="S84" i="1" s="1"/>
  <c r="F42" i="1"/>
  <c r="S42" i="1" s="1"/>
  <c r="G43" i="1"/>
  <c r="F43" i="1" s="1"/>
  <c r="S43" i="1" s="1"/>
  <c r="G22" i="1"/>
  <c r="F22" i="1" s="1"/>
  <c r="S22" i="1" s="1"/>
  <c r="F21" i="1"/>
  <c r="S21" i="1" s="1"/>
</calcChain>
</file>

<file path=xl/sharedStrings.xml><?xml version="1.0" encoding="utf-8"?>
<sst xmlns="http://schemas.openxmlformats.org/spreadsheetml/2006/main" count="714" uniqueCount="49">
  <si>
    <t>Auftrag_Nr</t>
  </si>
  <si>
    <t>Item_ID</t>
  </si>
  <si>
    <t>Item_Name</t>
  </si>
  <si>
    <t>Del_Date</t>
  </si>
  <si>
    <t>Sales_Item_Name</t>
  </si>
  <si>
    <t>Sales_Item_ID</t>
  </si>
  <si>
    <t>Durchlaufzeit</t>
  </si>
  <si>
    <t>TE</t>
  </si>
  <si>
    <t>Arbeitsplatz</t>
  </si>
  <si>
    <t>Planetenträger</t>
  </si>
  <si>
    <t>Planetenträger Giess</t>
  </si>
  <si>
    <t>Giess_Date</t>
  </si>
  <si>
    <t>Arbeitsgang_Bez</t>
  </si>
  <si>
    <t>Arbeitsgang_Item_ID</t>
  </si>
  <si>
    <t>Giessen</t>
  </si>
  <si>
    <t>03325</t>
  </si>
  <si>
    <t>Prod_Zeit</t>
  </si>
  <si>
    <t>Kapa</t>
  </si>
  <si>
    <t>Conti Gehäuse</t>
  </si>
  <si>
    <t>ASD</t>
  </si>
  <si>
    <t>Halter</t>
  </si>
  <si>
    <t>Adapter</t>
  </si>
  <si>
    <t>Kühlkörper</t>
  </si>
  <si>
    <t>03D02</t>
  </si>
  <si>
    <t>03360</t>
  </si>
  <si>
    <t>03D04</t>
  </si>
  <si>
    <t>03D03</t>
  </si>
  <si>
    <t>KW</t>
  </si>
  <si>
    <t>Nutzung</t>
  </si>
  <si>
    <t>Menge_Abr</t>
  </si>
  <si>
    <t>Menge_Prod</t>
  </si>
  <si>
    <t>Gesamtergebnis</t>
  </si>
  <si>
    <t>Summe von Prod_Zeit</t>
  </si>
  <si>
    <t>Summe von Kapa</t>
  </si>
  <si>
    <t>(Mehrere Elemente)</t>
  </si>
  <si>
    <t>Masch_Nr</t>
  </si>
  <si>
    <t>MaschineBez</t>
  </si>
  <si>
    <t>GroupMaschine</t>
  </si>
  <si>
    <t>Nutzgrad</t>
  </si>
  <si>
    <t xml:space="preserve">DGM 720 to Frech 2        </t>
  </si>
  <si>
    <t>Gruppe 3 (600-700 to)</t>
  </si>
  <si>
    <t xml:space="preserve">DGM 550 to Italpr.SC      </t>
  </si>
  <si>
    <t>Gruppe 2 (500 to)</t>
  </si>
  <si>
    <t>DGM 520 to Müller-Weingar.</t>
  </si>
  <si>
    <t xml:space="preserve">DGM 315 to Frech 2        </t>
  </si>
  <si>
    <t>DGM 1000 to Müller-Weing.2</t>
  </si>
  <si>
    <t>Arbeitsplatz_Bez</t>
  </si>
  <si>
    <t>Masch_Gr</t>
  </si>
  <si>
    <t>Werte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</si>
</sst>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0" borderId="3" xfId="1" applyFont="1" applyBorder="1" applyAlignment="1">
      <alignment wrapText="1"/>
    </xf>
    <xf numFmtId="10" fontId="2" fillId="0" borderId="3" xfId="1" applyNumberFormat="1" applyFont="1" applyBorder="1" applyAlignment="1">
      <alignment horizontal="right" wrapText="1"/>
    </xf>
  </cellXfs>
  <cellStyles count="2">
    <cellStyle name="Standard" xfId="0" builtinId="0"/>
    <cellStyle name="Standard_Maschinenstamm" xfId="1" xr:uid="{DA2D5FAB-6B5D-436D-AAE6-B88C21189266}"/>
  </cellStyles>
  <dxfs count="1"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dor" refreshedDate="45060.488629282409" createdVersion="8" refreshedVersion="8" minRefreshableVersion="3" recordCount="233" xr:uid="{23FE0310-C674-48EE-AB71-2AC24FDC60D3}">
  <cacheSource type="worksheet">
    <worksheetSource ref="A1:T1048576" sheet="Orders"/>
  </cacheSource>
  <cacheFields count="20">
    <cacheField name="Auftrag_Nr" numFmtId="0">
      <sharedItems containsString="0" containsBlank="1" containsNumber="1" containsInteger="1" minValue="2023001" maxValue="2023126"/>
    </cacheField>
    <cacheField name="Item_ID" numFmtId="0">
      <sharedItems containsString="0" containsBlank="1" containsNumber="1" containsInteger="1" minValue="23116" maxValue="23455"/>
    </cacheField>
    <cacheField name="Item_Name" numFmtId="0">
      <sharedItems containsBlank="1"/>
    </cacheField>
    <cacheField name="Sales_Item_ID" numFmtId="0">
      <sharedItems containsString="0" containsBlank="1" containsNumber="1" containsInteger="1" minValue="14698" maxValue="23453"/>
    </cacheField>
    <cacheField name="Sales_Item_Name" numFmtId="0">
      <sharedItems containsBlank="1"/>
    </cacheField>
    <cacheField name="Giess_Date" numFmtId="0">
      <sharedItems containsNonDate="0" containsDate="1" containsString="0" containsBlank="1" minDate="2023-05-26T00:00:00" maxDate="2023-10-14T00:00:00"/>
    </cacheField>
    <cacheField name="Del_Date" numFmtId="0">
      <sharedItems containsNonDate="0" containsDate="1" containsString="0" containsBlank="1" minDate="2023-06-09T00:00:00" maxDate="2023-10-28T00:00:00"/>
    </cacheField>
    <cacheField name="Arbeitsgang_Bez" numFmtId="0">
      <sharedItems containsBlank="1"/>
    </cacheField>
    <cacheField name="Arbeitsgang_Item_ID" numFmtId="0">
      <sharedItems containsString="0" containsBlank="1" containsNumber="1" containsInteger="1" minValue="10" maxValue="10"/>
    </cacheField>
    <cacheField name="Menge_Abr" numFmtId="0">
      <sharedItems containsString="0" containsBlank="1" containsNumber="1" containsInteger="1" minValue="700" maxValue="12000"/>
    </cacheField>
    <cacheField name="Menge_Prod" numFmtId="0">
      <sharedItems containsString="0" containsBlank="1" containsNumber="1" containsInteger="1" minValue="700" maxValue="12000"/>
    </cacheField>
    <cacheField name="Durchlaufzeit" numFmtId="0">
      <sharedItems containsString="0" containsBlank="1" containsNumber="1" containsInteger="1" minValue="14" maxValue="14"/>
    </cacheField>
    <cacheField name="TE" numFmtId="0">
      <sharedItems containsString="0" containsBlank="1" containsNumber="1" containsInteger="1" minValue="60" maxValue="60"/>
    </cacheField>
    <cacheField name="Arbeitsplatz" numFmtId="0">
      <sharedItems containsBlank="1" count="6">
        <s v="03325"/>
        <s v="03D02"/>
        <s v="03360"/>
        <s v="03D04"/>
        <s v="03D03"/>
        <m/>
      </sharedItems>
    </cacheField>
    <cacheField name="Arbeitsplatz_Bez" numFmtId="0">
      <sharedItems containsBlank="1" count="6">
        <s v="DGM 520 to Müller-Weingar."/>
        <s v="DGM 720 to Frech 2        "/>
        <s v="DGM 315 to Frech 2        "/>
        <s v="DGM 1000 to Müller-Weing.2"/>
        <s v="DGM 550 to Italpr.SC      "/>
        <m/>
      </sharedItems>
    </cacheField>
    <cacheField name="Masch_Gr" numFmtId="0">
      <sharedItems containsBlank="1" count="4">
        <s v="Gruppe 2 (500 to)"/>
        <s v="Gruppe 3 (600-700 to)"/>
        <m/>
        <s v="Gruppe 1 (300 to)" u="1"/>
      </sharedItems>
    </cacheField>
    <cacheField name="Prod_Zeit" numFmtId="0">
      <sharedItems containsString="0" containsBlank="1" containsNumber="1" minValue="11.666666666666666" maxValue="200"/>
    </cacheField>
    <cacheField name="Kapa" numFmtId="0">
      <sharedItems containsString="0" containsBlank="1" containsNumber="1" containsInteger="1" minValue="84" maxValue="84"/>
    </cacheField>
    <cacheField name="KW" numFmtId="0">
      <sharedItems containsString="0" containsBlank="1" containsNumber="1" containsInteger="1" minValue="21" maxValue="41" count="22"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m/>
      </sharedItems>
    </cacheField>
    <cacheField name="Nutzung" numFmtId="0">
      <sharedItems containsString="0" containsBlank="1" containsNumber="1" minValue="0.7" maxValue="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n v="2023001"/>
    <n v="23455"/>
    <s v="Planetenträger Giess"/>
    <n v="23453"/>
    <s v="Planetenträger"/>
    <d v="2023-05-26T00:00:00"/>
    <d v="2023-06-09T00:00:00"/>
    <s v="Giessen"/>
    <n v="10"/>
    <n v="6000"/>
    <n v="6000"/>
    <n v="14"/>
    <n v="60"/>
    <x v="0"/>
    <x v="0"/>
    <x v="0"/>
    <n v="100"/>
    <m/>
    <x v="0"/>
    <m/>
  </r>
  <r>
    <n v="2023002"/>
    <n v="23455"/>
    <s v="Planetenträger Giess"/>
    <n v="23453"/>
    <s v="Planetenträger"/>
    <d v="2023-06-02T00:00:00"/>
    <d v="2023-06-16T00:00:00"/>
    <s v="Giessen"/>
    <n v="10"/>
    <n v="6000"/>
    <n v="6000"/>
    <n v="14"/>
    <n v="60"/>
    <x v="0"/>
    <x v="0"/>
    <x v="0"/>
    <n v="100"/>
    <m/>
    <x v="1"/>
    <m/>
  </r>
  <r>
    <n v="2023003"/>
    <n v="23455"/>
    <s v="Planetenträger Giess"/>
    <n v="23453"/>
    <s v="Planetenträger"/>
    <d v="2023-06-09T00:00:00"/>
    <d v="2023-06-23T00:00:00"/>
    <s v="Giessen"/>
    <n v="10"/>
    <n v="6000"/>
    <n v="6000"/>
    <n v="14"/>
    <n v="60"/>
    <x v="0"/>
    <x v="0"/>
    <x v="0"/>
    <n v="100"/>
    <m/>
    <x v="2"/>
    <m/>
  </r>
  <r>
    <n v="2023004"/>
    <n v="23455"/>
    <s v="Planetenträger Giess"/>
    <n v="23453"/>
    <s v="Planetenträger"/>
    <d v="2023-06-16T00:00:00"/>
    <d v="2023-06-30T00:00:00"/>
    <s v="Giessen"/>
    <n v="10"/>
    <n v="6000"/>
    <n v="6000"/>
    <n v="14"/>
    <n v="60"/>
    <x v="0"/>
    <x v="0"/>
    <x v="0"/>
    <n v="100"/>
    <m/>
    <x v="3"/>
    <m/>
  </r>
  <r>
    <n v="2023005"/>
    <n v="23455"/>
    <s v="Planetenträger Giess"/>
    <n v="23453"/>
    <s v="Planetenträger"/>
    <d v="2023-06-23T00:00:00"/>
    <d v="2023-07-07T00:00:00"/>
    <s v="Giessen"/>
    <n v="10"/>
    <n v="6000"/>
    <n v="6000"/>
    <n v="14"/>
    <n v="60"/>
    <x v="0"/>
    <x v="0"/>
    <x v="0"/>
    <n v="100"/>
    <m/>
    <x v="4"/>
    <m/>
  </r>
  <r>
    <n v="2023006"/>
    <n v="23455"/>
    <s v="Planetenträger Giess"/>
    <n v="23453"/>
    <s v="Planetenträger"/>
    <d v="2023-06-30T00:00:00"/>
    <d v="2023-07-14T00:00:00"/>
    <s v="Giessen"/>
    <n v="10"/>
    <n v="6000"/>
    <n v="6000"/>
    <n v="14"/>
    <n v="60"/>
    <x v="0"/>
    <x v="0"/>
    <x v="0"/>
    <n v="100"/>
    <m/>
    <x v="5"/>
    <m/>
  </r>
  <r>
    <n v="2023007"/>
    <n v="23455"/>
    <s v="Planetenträger Giess"/>
    <n v="23453"/>
    <s v="Planetenträger"/>
    <d v="2023-07-07T00:00:00"/>
    <d v="2023-07-21T00:00:00"/>
    <s v="Giessen"/>
    <n v="10"/>
    <n v="6000"/>
    <n v="6000"/>
    <n v="14"/>
    <n v="60"/>
    <x v="0"/>
    <x v="0"/>
    <x v="0"/>
    <n v="100"/>
    <m/>
    <x v="6"/>
    <m/>
  </r>
  <r>
    <n v="2023008"/>
    <n v="23455"/>
    <s v="Planetenträger Giess"/>
    <n v="23453"/>
    <s v="Planetenträger"/>
    <d v="2023-07-14T00:00:00"/>
    <d v="2023-07-28T00:00:00"/>
    <s v="Giessen"/>
    <n v="10"/>
    <n v="6000"/>
    <n v="6000"/>
    <n v="14"/>
    <n v="60"/>
    <x v="0"/>
    <x v="0"/>
    <x v="0"/>
    <n v="100"/>
    <m/>
    <x v="7"/>
    <m/>
  </r>
  <r>
    <n v="2023009"/>
    <n v="23455"/>
    <s v="Planetenträger Giess"/>
    <n v="23453"/>
    <s v="Planetenträger"/>
    <d v="2023-07-21T00:00:00"/>
    <d v="2023-08-04T00:00:00"/>
    <s v="Giessen"/>
    <n v="10"/>
    <n v="6000"/>
    <n v="6000"/>
    <n v="14"/>
    <n v="60"/>
    <x v="0"/>
    <x v="0"/>
    <x v="0"/>
    <n v="100"/>
    <m/>
    <x v="8"/>
    <m/>
  </r>
  <r>
    <n v="2023010"/>
    <n v="23455"/>
    <s v="Planetenträger Giess"/>
    <n v="23453"/>
    <s v="Planetenträger"/>
    <d v="2023-07-28T00:00:00"/>
    <d v="2023-08-11T00:00:00"/>
    <s v="Giessen"/>
    <n v="10"/>
    <n v="6000"/>
    <n v="6000"/>
    <n v="14"/>
    <n v="60"/>
    <x v="0"/>
    <x v="0"/>
    <x v="0"/>
    <n v="100"/>
    <m/>
    <x v="9"/>
    <m/>
  </r>
  <r>
    <n v="2023011"/>
    <n v="23455"/>
    <s v="Planetenträger Giess"/>
    <n v="23453"/>
    <s v="Planetenträger"/>
    <d v="2023-08-04T00:00:00"/>
    <d v="2023-08-18T00:00:00"/>
    <s v="Giessen"/>
    <n v="10"/>
    <n v="6000"/>
    <n v="6000"/>
    <n v="14"/>
    <n v="60"/>
    <x v="0"/>
    <x v="0"/>
    <x v="0"/>
    <n v="100"/>
    <m/>
    <x v="10"/>
    <m/>
  </r>
  <r>
    <n v="2023012"/>
    <n v="23455"/>
    <s v="Planetenträger Giess"/>
    <n v="23453"/>
    <s v="Planetenträger"/>
    <d v="2023-08-11T00:00:00"/>
    <d v="2023-08-25T00:00:00"/>
    <s v="Giessen"/>
    <n v="10"/>
    <n v="6000"/>
    <n v="6000"/>
    <n v="14"/>
    <n v="60"/>
    <x v="0"/>
    <x v="0"/>
    <x v="0"/>
    <n v="100"/>
    <m/>
    <x v="11"/>
    <m/>
  </r>
  <r>
    <n v="2023013"/>
    <n v="23455"/>
    <s v="Planetenträger Giess"/>
    <n v="23453"/>
    <s v="Planetenträger"/>
    <d v="2023-08-18T00:00:00"/>
    <d v="2023-09-01T00:00:00"/>
    <s v="Giessen"/>
    <n v="10"/>
    <n v="6000"/>
    <n v="6000"/>
    <n v="14"/>
    <n v="60"/>
    <x v="0"/>
    <x v="0"/>
    <x v="0"/>
    <n v="100"/>
    <m/>
    <x v="12"/>
    <m/>
  </r>
  <r>
    <n v="2023014"/>
    <n v="23455"/>
    <s v="Planetenträger Giess"/>
    <n v="23453"/>
    <s v="Planetenträger"/>
    <d v="2023-08-25T00:00:00"/>
    <d v="2023-09-08T00:00:00"/>
    <s v="Giessen"/>
    <n v="10"/>
    <n v="6000"/>
    <n v="6000"/>
    <n v="14"/>
    <n v="60"/>
    <x v="0"/>
    <x v="0"/>
    <x v="0"/>
    <n v="100"/>
    <m/>
    <x v="13"/>
    <m/>
  </r>
  <r>
    <n v="2023015"/>
    <n v="23455"/>
    <s v="Planetenträger Giess"/>
    <n v="23453"/>
    <s v="Planetenträger"/>
    <d v="2023-09-01T00:00:00"/>
    <d v="2023-09-15T00:00:00"/>
    <s v="Giessen"/>
    <n v="10"/>
    <n v="6000"/>
    <n v="6000"/>
    <n v="14"/>
    <n v="60"/>
    <x v="0"/>
    <x v="0"/>
    <x v="0"/>
    <n v="100"/>
    <m/>
    <x v="14"/>
    <m/>
  </r>
  <r>
    <n v="2023016"/>
    <n v="23455"/>
    <s v="Planetenträger Giess"/>
    <n v="23453"/>
    <s v="Planetenträger"/>
    <d v="2023-09-08T00:00:00"/>
    <d v="2023-09-22T00:00:00"/>
    <s v="Giessen"/>
    <n v="10"/>
    <n v="6000"/>
    <n v="6000"/>
    <n v="14"/>
    <n v="60"/>
    <x v="0"/>
    <x v="0"/>
    <x v="0"/>
    <n v="100"/>
    <m/>
    <x v="15"/>
    <m/>
  </r>
  <r>
    <n v="2023017"/>
    <n v="23455"/>
    <s v="Planetenträger Giess"/>
    <n v="23453"/>
    <s v="Planetenträger"/>
    <d v="2023-09-15T00:00:00"/>
    <d v="2023-09-29T00:00:00"/>
    <s v="Giessen"/>
    <n v="10"/>
    <n v="6000"/>
    <n v="6000"/>
    <n v="14"/>
    <n v="60"/>
    <x v="0"/>
    <x v="0"/>
    <x v="0"/>
    <n v="100"/>
    <m/>
    <x v="16"/>
    <m/>
  </r>
  <r>
    <n v="2023018"/>
    <n v="23455"/>
    <s v="Planetenträger Giess"/>
    <n v="23453"/>
    <s v="Planetenträger"/>
    <d v="2023-09-22T00:00:00"/>
    <d v="2023-10-06T00:00:00"/>
    <s v="Giessen"/>
    <n v="10"/>
    <n v="6000"/>
    <n v="6000"/>
    <n v="14"/>
    <n v="60"/>
    <x v="0"/>
    <x v="0"/>
    <x v="0"/>
    <n v="100"/>
    <m/>
    <x v="17"/>
    <m/>
  </r>
  <r>
    <n v="2023019"/>
    <n v="23455"/>
    <s v="Planetenträger Giess"/>
    <n v="23453"/>
    <s v="Planetenträger"/>
    <d v="2023-09-29T00:00:00"/>
    <d v="2023-10-13T00:00:00"/>
    <s v="Giessen"/>
    <n v="10"/>
    <n v="6000"/>
    <n v="6000"/>
    <n v="14"/>
    <n v="60"/>
    <x v="0"/>
    <x v="0"/>
    <x v="0"/>
    <n v="100"/>
    <m/>
    <x v="18"/>
    <m/>
  </r>
  <r>
    <n v="2023020"/>
    <n v="23455"/>
    <s v="Planetenträger Giess"/>
    <n v="23453"/>
    <s v="Planetenträger"/>
    <d v="2023-10-06T00:00:00"/>
    <d v="2023-10-20T00:00:00"/>
    <s v="Giessen"/>
    <n v="10"/>
    <n v="6000"/>
    <n v="6000"/>
    <n v="14"/>
    <n v="60"/>
    <x v="0"/>
    <x v="0"/>
    <x v="0"/>
    <n v="100"/>
    <m/>
    <x v="19"/>
    <m/>
  </r>
  <r>
    <n v="2023021"/>
    <n v="23455"/>
    <s v="Planetenträger Giess"/>
    <n v="23453"/>
    <s v="Planetenträger"/>
    <d v="2023-10-13T00:00:00"/>
    <d v="2023-10-27T00:00:00"/>
    <s v="Giessen"/>
    <n v="10"/>
    <n v="6000"/>
    <n v="6000"/>
    <n v="14"/>
    <n v="60"/>
    <x v="0"/>
    <x v="0"/>
    <x v="0"/>
    <n v="100"/>
    <m/>
    <x v="20"/>
    <m/>
  </r>
  <r>
    <n v="2023022"/>
    <n v="23394"/>
    <s v="Conti Gehäuse  Giess"/>
    <n v="14854"/>
    <s v="Conti Gehäuse"/>
    <d v="2023-05-26T00:00:00"/>
    <d v="2023-06-09T00:00:00"/>
    <s v="Giessen"/>
    <n v="10"/>
    <n v="4800"/>
    <n v="4800"/>
    <n v="14"/>
    <n v="60"/>
    <x v="1"/>
    <x v="1"/>
    <x v="1"/>
    <n v="80"/>
    <m/>
    <x v="0"/>
    <m/>
  </r>
  <r>
    <n v="2023023"/>
    <n v="23394"/>
    <s v="Conti Gehäuse  Giess"/>
    <n v="14854"/>
    <s v="Conti Gehäuse"/>
    <d v="2023-06-02T00:00:00"/>
    <d v="2023-06-16T00:00:00"/>
    <s v="Giessen"/>
    <n v="10"/>
    <n v="4800"/>
    <n v="4800"/>
    <n v="14"/>
    <n v="60"/>
    <x v="1"/>
    <x v="1"/>
    <x v="1"/>
    <n v="80"/>
    <m/>
    <x v="1"/>
    <m/>
  </r>
  <r>
    <n v="2023024"/>
    <n v="23394"/>
    <s v="Conti Gehäuse  Giess"/>
    <n v="14854"/>
    <s v="Conti Gehäuse"/>
    <d v="2023-06-09T00:00:00"/>
    <d v="2023-06-23T00:00:00"/>
    <s v="Giessen"/>
    <n v="10"/>
    <n v="4800"/>
    <n v="4800"/>
    <n v="14"/>
    <n v="60"/>
    <x v="1"/>
    <x v="1"/>
    <x v="1"/>
    <n v="80"/>
    <m/>
    <x v="2"/>
    <m/>
  </r>
  <r>
    <n v="2023025"/>
    <n v="23394"/>
    <s v="Conti Gehäuse  Giess"/>
    <n v="14854"/>
    <s v="Conti Gehäuse"/>
    <d v="2023-06-16T00:00:00"/>
    <d v="2023-06-30T00:00:00"/>
    <s v="Giessen"/>
    <n v="10"/>
    <n v="4800"/>
    <n v="4800"/>
    <n v="14"/>
    <n v="60"/>
    <x v="1"/>
    <x v="1"/>
    <x v="1"/>
    <n v="80"/>
    <m/>
    <x v="3"/>
    <m/>
  </r>
  <r>
    <n v="2023026"/>
    <n v="23394"/>
    <s v="Conti Gehäuse  Giess"/>
    <n v="14854"/>
    <s v="Conti Gehäuse"/>
    <d v="2023-06-23T00:00:00"/>
    <d v="2023-07-07T00:00:00"/>
    <s v="Giessen"/>
    <n v="10"/>
    <n v="4800"/>
    <n v="4800"/>
    <n v="14"/>
    <n v="60"/>
    <x v="1"/>
    <x v="1"/>
    <x v="1"/>
    <n v="80"/>
    <m/>
    <x v="4"/>
    <m/>
  </r>
  <r>
    <n v="2023027"/>
    <n v="23394"/>
    <s v="Conti Gehäuse  Giess"/>
    <n v="14854"/>
    <s v="Conti Gehäuse"/>
    <d v="2023-06-30T00:00:00"/>
    <d v="2023-07-14T00:00:00"/>
    <s v="Giessen"/>
    <n v="10"/>
    <n v="4800"/>
    <n v="4800"/>
    <n v="14"/>
    <n v="60"/>
    <x v="1"/>
    <x v="1"/>
    <x v="1"/>
    <n v="80"/>
    <m/>
    <x v="5"/>
    <m/>
  </r>
  <r>
    <n v="2023028"/>
    <n v="23394"/>
    <s v="Conti Gehäuse  Giess"/>
    <n v="14854"/>
    <s v="Conti Gehäuse"/>
    <d v="2023-07-07T00:00:00"/>
    <d v="2023-07-21T00:00:00"/>
    <s v="Giessen"/>
    <n v="10"/>
    <n v="4800"/>
    <n v="4800"/>
    <n v="14"/>
    <n v="60"/>
    <x v="1"/>
    <x v="1"/>
    <x v="1"/>
    <n v="80"/>
    <m/>
    <x v="6"/>
    <m/>
  </r>
  <r>
    <n v="2023029"/>
    <n v="23394"/>
    <s v="Conti Gehäuse  Giess"/>
    <n v="14854"/>
    <s v="Conti Gehäuse"/>
    <d v="2023-07-14T00:00:00"/>
    <d v="2023-07-28T00:00:00"/>
    <s v="Giessen"/>
    <n v="10"/>
    <n v="4800"/>
    <n v="4800"/>
    <n v="14"/>
    <n v="60"/>
    <x v="1"/>
    <x v="1"/>
    <x v="1"/>
    <n v="80"/>
    <m/>
    <x v="7"/>
    <m/>
  </r>
  <r>
    <n v="2023030"/>
    <n v="23394"/>
    <s v="Conti Gehäuse  Giess"/>
    <n v="14854"/>
    <s v="Conti Gehäuse"/>
    <d v="2023-07-21T00:00:00"/>
    <d v="2023-08-04T00:00:00"/>
    <s v="Giessen"/>
    <n v="10"/>
    <n v="4800"/>
    <n v="4800"/>
    <n v="14"/>
    <n v="60"/>
    <x v="1"/>
    <x v="1"/>
    <x v="1"/>
    <n v="80"/>
    <m/>
    <x v="8"/>
    <m/>
  </r>
  <r>
    <n v="2023031"/>
    <n v="23394"/>
    <s v="Conti Gehäuse  Giess"/>
    <n v="14854"/>
    <s v="Conti Gehäuse"/>
    <d v="2023-07-28T00:00:00"/>
    <d v="2023-08-11T00:00:00"/>
    <s v="Giessen"/>
    <n v="10"/>
    <n v="4800"/>
    <n v="4800"/>
    <n v="14"/>
    <n v="60"/>
    <x v="1"/>
    <x v="1"/>
    <x v="1"/>
    <n v="80"/>
    <m/>
    <x v="9"/>
    <m/>
  </r>
  <r>
    <n v="2023032"/>
    <n v="23394"/>
    <s v="Conti Gehäuse  Giess"/>
    <n v="14854"/>
    <s v="Conti Gehäuse"/>
    <d v="2023-08-04T00:00:00"/>
    <d v="2023-08-18T00:00:00"/>
    <s v="Giessen"/>
    <n v="10"/>
    <n v="4800"/>
    <n v="4800"/>
    <n v="14"/>
    <n v="60"/>
    <x v="1"/>
    <x v="1"/>
    <x v="1"/>
    <n v="80"/>
    <m/>
    <x v="10"/>
    <m/>
  </r>
  <r>
    <n v="2023033"/>
    <n v="23394"/>
    <s v="Conti Gehäuse  Giess"/>
    <n v="14854"/>
    <s v="Conti Gehäuse"/>
    <d v="2023-08-11T00:00:00"/>
    <d v="2023-08-25T00:00:00"/>
    <s v="Giessen"/>
    <n v="10"/>
    <n v="4800"/>
    <n v="4800"/>
    <n v="14"/>
    <n v="60"/>
    <x v="1"/>
    <x v="1"/>
    <x v="1"/>
    <n v="80"/>
    <m/>
    <x v="11"/>
    <m/>
  </r>
  <r>
    <n v="2023034"/>
    <n v="23394"/>
    <s v="Conti Gehäuse  Giess"/>
    <n v="14854"/>
    <s v="Conti Gehäuse"/>
    <d v="2023-08-18T00:00:00"/>
    <d v="2023-09-01T00:00:00"/>
    <s v="Giessen"/>
    <n v="10"/>
    <n v="4800"/>
    <n v="4800"/>
    <n v="14"/>
    <n v="60"/>
    <x v="1"/>
    <x v="1"/>
    <x v="1"/>
    <n v="80"/>
    <m/>
    <x v="12"/>
    <m/>
  </r>
  <r>
    <n v="2023035"/>
    <n v="23394"/>
    <s v="Conti Gehäuse  Giess"/>
    <n v="14854"/>
    <s v="Conti Gehäuse"/>
    <d v="2023-08-25T00:00:00"/>
    <d v="2023-09-08T00:00:00"/>
    <s v="Giessen"/>
    <n v="10"/>
    <n v="4800"/>
    <n v="4800"/>
    <n v="14"/>
    <n v="60"/>
    <x v="1"/>
    <x v="1"/>
    <x v="1"/>
    <n v="80"/>
    <m/>
    <x v="13"/>
    <m/>
  </r>
  <r>
    <n v="2023036"/>
    <n v="23394"/>
    <s v="Conti Gehäuse  Giess"/>
    <n v="14854"/>
    <s v="Conti Gehäuse"/>
    <d v="2023-09-01T00:00:00"/>
    <d v="2023-09-15T00:00:00"/>
    <s v="Giessen"/>
    <n v="10"/>
    <n v="4800"/>
    <n v="4800"/>
    <n v="14"/>
    <n v="60"/>
    <x v="1"/>
    <x v="1"/>
    <x v="1"/>
    <n v="80"/>
    <m/>
    <x v="14"/>
    <m/>
  </r>
  <r>
    <n v="2023037"/>
    <n v="23394"/>
    <s v="Conti Gehäuse  Giess"/>
    <n v="14854"/>
    <s v="Conti Gehäuse"/>
    <d v="2023-09-08T00:00:00"/>
    <d v="2023-09-22T00:00:00"/>
    <s v="Giessen"/>
    <n v="10"/>
    <n v="4800"/>
    <n v="4800"/>
    <n v="14"/>
    <n v="60"/>
    <x v="1"/>
    <x v="1"/>
    <x v="1"/>
    <n v="80"/>
    <m/>
    <x v="15"/>
    <m/>
  </r>
  <r>
    <n v="2023038"/>
    <n v="23394"/>
    <s v="Conti Gehäuse  Giess"/>
    <n v="14854"/>
    <s v="Conti Gehäuse"/>
    <d v="2023-09-15T00:00:00"/>
    <d v="2023-09-29T00:00:00"/>
    <s v="Giessen"/>
    <n v="10"/>
    <n v="4800"/>
    <n v="4800"/>
    <n v="14"/>
    <n v="60"/>
    <x v="1"/>
    <x v="1"/>
    <x v="1"/>
    <n v="80"/>
    <m/>
    <x v="16"/>
    <m/>
  </r>
  <r>
    <n v="2023039"/>
    <n v="23394"/>
    <s v="Conti Gehäuse  Giess"/>
    <n v="14854"/>
    <s v="Conti Gehäuse"/>
    <d v="2023-09-22T00:00:00"/>
    <d v="2023-10-06T00:00:00"/>
    <s v="Giessen"/>
    <n v="10"/>
    <n v="4800"/>
    <n v="4800"/>
    <n v="14"/>
    <n v="60"/>
    <x v="1"/>
    <x v="1"/>
    <x v="1"/>
    <n v="80"/>
    <m/>
    <x v="17"/>
    <m/>
  </r>
  <r>
    <n v="2023040"/>
    <n v="23394"/>
    <s v="Conti Gehäuse  Giess"/>
    <n v="14854"/>
    <s v="Conti Gehäuse"/>
    <d v="2023-09-29T00:00:00"/>
    <d v="2023-10-13T00:00:00"/>
    <s v="Giessen"/>
    <n v="10"/>
    <n v="4800"/>
    <n v="4800"/>
    <n v="14"/>
    <n v="60"/>
    <x v="1"/>
    <x v="1"/>
    <x v="1"/>
    <n v="80"/>
    <m/>
    <x v="18"/>
    <m/>
  </r>
  <r>
    <n v="2023041"/>
    <n v="23394"/>
    <s v="Conti Gehäuse  Giess"/>
    <n v="14854"/>
    <s v="Conti Gehäuse"/>
    <d v="2023-10-06T00:00:00"/>
    <d v="2023-10-20T00:00:00"/>
    <s v="Giessen"/>
    <n v="10"/>
    <n v="4800"/>
    <n v="4800"/>
    <n v="14"/>
    <n v="60"/>
    <x v="1"/>
    <x v="1"/>
    <x v="1"/>
    <n v="80"/>
    <m/>
    <x v="19"/>
    <m/>
  </r>
  <r>
    <n v="2023042"/>
    <n v="23394"/>
    <s v="Conti Gehäuse  Giess"/>
    <n v="14854"/>
    <s v="Conti Gehäuse"/>
    <d v="2023-10-13T00:00:00"/>
    <d v="2023-10-27T00:00:00"/>
    <s v="Giessen"/>
    <n v="10"/>
    <n v="4800"/>
    <n v="4800"/>
    <n v="14"/>
    <n v="60"/>
    <x v="1"/>
    <x v="1"/>
    <x v="1"/>
    <n v="80"/>
    <m/>
    <x v="20"/>
    <m/>
  </r>
  <r>
    <n v="2023043"/>
    <n v="23373"/>
    <s v="ASD  Giess"/>
    <n v="14818"/>
    <s v="ASD"/>
    <d v="2023-05-26T00:00:00"/>
    <d v="2023-06-09T00:00:00"/>
    <s v="Giessen"/>
    <n v="10"/>
    <n v="12000"/>
    <n v="12000"/>
    <n v="14"/>
    <n v="60"/>
    <x v="2"/>
    <x v="2"/>
    <x v="0"/>
    <n v="200"/>
    <m/>
    <x v="0"/>
    <m/>
  </r>
  <r>
    <n v="2023044"/>
    <n v="23373"/>
    <s v="ASD  Giess"/>
    <n v="14818"/>
    <s v="ASD"/>
    <d v="2023-06-02T00:00:00"/>
    <d v="2023-06-16T00:00:00"/>
    <s v="Giessen"/>
    <n v="10"/>
    <n v="12000"/>
    <n v="12000"/>
    <n v="14"/>
    <n v="60"/>
    <x v="2"/>
    <x v="2"/>
    <x v="0"/>
    <n v="200"/>
    <m/>
    <x v="1"/>
    <m/>
  </r>
  <r>
    <n v="2023045"/>
    <n v="23373"/>
    <s v="ASD  Giess"/>
    <n v="14818"/>
    <s v="ASD"/>
    <d v="2023-06-09T00:00:00"/>
    <d v="2023-06-23T00:00:00"/>
    <s v="Giessen"/>
    <n v="10"/>
    <n v="12000"/>
    <n v="12000"/>
    <n v="14"/>
    <n v="60"/>
    <x v="2"/>
    <x v="2"/>
    <x v="0"/>
    <n v="200"/>
    <m/>
    <x v="2"/>
    <m/>
  </r>
  <r>
    <n v="2023046"/>
    <n v="23373"/>
    <s v="ASD  Giess"/>
    <n v="14818"/>
    <s v="ASD"/>
    <d v="2023-06-16T00:00:00"/>
    <d v="2023-06-30T00:00:00"/>
    <s v="Giessen"/>
    <n v="10"/>
    <n v="12000"/>
    <n v="12000"/>
    <n v="14"/>
    <n v="60"/>
    <x v="2"/>
    <x v="2"/>
    <x v="0"/>
    <n v="200"/>
    <m/>
    <x v="3"/>
    <m/>
  </r>
  <r>
    <n v="2023047"/>
    <n v="23373"/>
    <s v="ASD  Giess"/>
    <n v="14818"/>
    <s v="ASD"/>
    <d v="2023-06-23T00:00:00"/>
    <d v="2023-07-07T00:00:00"/>
    <s v="Giessen"/>
    <n v="10"/>
    <n v="12000"/>
    <n v="12000"/>
    <n v="14"/>
    <n v="60"/>
    <x v="2"/>
    <x v="2"/>
    <x v="0"/>
    <n v="200"/>
    <m/>
    <x v="4"/>
    <m/>
  </r>
  <r>
    <n v="2023048"/>
    <n v="23373"/>
    <s v="ASD  Giess"/>
    <n v="14818"/>
    <s v="ASD"/>
    <d v="2023-06-30T00:00:00"/>
    <d v="2023-07-14T00:00:00"/>
    <s v="Giessen"/>
    <n v="10"/>
    <n v="12000"/>
    <n v="12000"/>
    <n v="14"/>
    <n v="60"/>
    <x v="2"/>
    <x v="2"/>
    <x v="0"/>
    <n v="200"/>
    <m/>
    <x v="5"/>
    <m/>
  </r>
  <r>
    <n v="2023049"/>
    <n v="23373"/>
    <s v="ASD  Giess"/>
    <n v="14818"/>
    <s v="ASD"/>
    <d v="2023-07-07T00:00:00"/>
    <d v="2023-07-21T00:00:00"/>
    <s v="Giessen"/>
    <n v="10"/>
    <n v="12000"/>
    <n v="12000"/>
    <n v="14"/>
    <n v="60"/>
    <x v="2"/>
    <x v="2"/>
    <x v="0"/>
    <n v="200"/>
    <m/>
    <x v="6"/>
    <m/>
  </r>
  <r>
    <n v="2023050"/>
    <n v="23373"/>
    <s v="ASD  Giess"/>
    <n v="14818"/>
    <s v="ASD"/>
    <d v="2023-07-14T00:00:00"/>
    <d v="2023-07-28T00:00:00"/>
    <s v="Giessen"/>
    <n v="10"/>
    <n v="12000"/>
    <n v="12000"/>
    <n v="14"/>
    <n v="60"/>
    <x v="2"/>
    <x v="2"/>
    <x v="0"/>
    <n v="200"/>
    <m/>
    <x v="7"/>
    <m/>
  </r>
  <r>
    <n v="2023051"/>
    <n v="23373"/>
    <s v="ASD  Giess"/>
    <n v="14818"/>
    <s v="ASD"/>
    <d v="2023-07-21T00:00:00"/>
    <d v="2023-08-04T00:00:00"/>
    <s v="Giessen"/>
    <n v="10"/>
    <n v="12000"/>
    <n v="12000"/>
    <n v="14"/>
    <n v="60"/>
    <x v="2"/>
    <x v="2"/>
    <x v="0"/>
    <n v="200"/>
    <m/>
    <x v="8"/>
    <m/>
  </r>
  <r>
    <n v="2023052"/>
    <n v="23373"/>
    <s v="ASD  Giess"/>
    <n v="14818"/>
    <s v="ASD"/>
    <d v="2023-07-28T00:00:00"/>
    <d v="2023-08-11T00:00:00"/>
    <s v="Giessen"/>
    <n v="10"/>
    <n v="12000"/>
    <n v="12000"/>
    <n v="14"/>
    <n v="60"/>
    <x v="2"/>
    <x v="2"/>
    <x v="0"/>
    <n v="200"/>
    <m/>
    <x v="9"/>
    <m/>
  </r>
  <r>
    <n v="2023053"/>
    <n v="23373"/>
    <s v="ASD  Giess"/>
    <n v="14818"/>
    <s v="ASD"/>
    <d v="2023-08-04T00:00:00"/>
    <d v="2023-08-18T00:00:00"/>
    <s v="Giessen"/>
    <n v="10"/>
    <n v="12000"/>
    <n v="12000"/>
    <n v="14"/>
    <n v="60"/>
    <x v="2"/>
    <x v="2"/>
    <x v="0"/>
    <n v="200"/>
    <m/>
    <x v="10"/>
    <m/>
  </r>
  <r>
    <n v="2023054"/>
    <n v="23373"/>
    <s v="ASD  Giess"/>
    <n v="14818"/>
    <s v="ASD"/>
    <d v="2023-08-11T00:00:00"/>
    <d v="2023-08-25T00:00:00"/>
    <s v="Giessen"/>
    <n v="10"/>
    <n v="12000"/>
    <n v="12000"/>
    <n v="14"/>
    <n v="60"/>
    <x v="2"/>
    <x v="2"/>
    <x v="0"/>
    <n v="200"/>
    <m/>
    <x v="11"/>
    <m/>
  </r>
  <r>
    <n v="2023055"/>
    <n v="23373"/>
    <s v="ASD  Giess"/>
    <n v="14818"/>
    <s v="ASD"/>
    <d v="2023-08-18T00:00:00"/>
    <d v="2023-09-01T00:00:00"/>
    <s v="Giessen"/>
    <n v="10"/>
    <n v="12000"/>
    <n v="12000"/>
    <n v="14"/>
    <n v="60"/>
    <x v="2"/>
    <x v="2"/>
    <x v="0"/>
    <n v="200"/>
    <m/>
    <x v="12"/>
    <m/>
  </r>
  <r>
    <n v="2023056"/>
    <n v="23373"/>
    <s v="ASD  Giess"/>
    <n v="14818"/>
    <s v="ASD"/>
    <d v="2023-08-25T00:00:00"/>
    <d v="2023-09-08T00:00:00"/>
    <s v="Giessen"/>
    <n v="10"/>
    <n v="12000"/>
    <n v="12000"/>
    <n v="14"/>
    <n v="60"/>
    <x v="2"/>
    <x v="2"/>
    <x v="0"/>
    <n v="200"/>
    <m/>
    <x v="13"/>
    <m/>
  </r>
  <r>
    <n v="2023057"/>
    <n v="23373"/>
    <s v="ASD  Giess"/>
    <n v="14818"/>
    <s v="ASD"/>
    <d v="2023-09-01T00:00:00"/>
    <d v="2023-09-15T00:00:00"/>
    <s v="Giessen"/>
    <n v="10"/>
    <n v="12000"/>
    <n v="12000"/>
    <n v="14"/>
    <n v="60"/>
    <x v="2"/>
    <x v="2"/>
    <x v="0"/>
    <n v="200"/>
    <m/>
    <x v="14"/>
    <m/>
  </r>
  <r>
    <n v="2023058"/>
    <n v="23373"/>
    <s v="ASD  Giess"/>
    <n v="14818"/>
    <s v="ASD"/>
    <d v="2023-09-08T00:00:00"/>
    <d v="2023-09-22T00:00:00"/>
    <s v="Giessen"/>
    <n v="10"/>
    <n v="12000"/>
    <n v="12000"/>
    <n v="14"/>
    <n v="60"/>
    <x v="2"/>
    <x v="2"/>
    <x v="0"/>
    <n v="200"/>
    <m/>
    <x v="15"/>
    <m/>
  </r>
  <r>
    <n v="2023059"/>
    <n v="23373"/>
    <s v="ASD  Giess"/>
    <n v="14818"/>
    <s v="ASD"/>
    <d v="2023-09-15T00:00:00"/>
    <d v="2023-09-29T00:00:00"/>
    <s v="Giessen"/>
    <n v="10"/>
    <n v="12000"/>
    <n v="12000"/>
    <n v="14"/>
    <n v="60"/>
    <x v="2"/>
    <x v="2"/>
    <x v="0"/>
    <n v="200"/>
    <m/>
    <x v="16"/>
    <m/>
  </r>
  <r>
    <n v="2023060"/>
    <n v="23373"/>
    <s v="ASD  Giess"/>
    <n v="14818"/>
    <s v="ASD"/>
    <d v="2023-09-22T00:00:00"/>
    <d v="2023-10-06T00:00:00"/>
    <s v="Giessen"/>
    <n v="10"/>
    <n v="12000"/>
    <n v="12000"/>
    <n v="14"/>
    <n v="60"/>
    <x v="2"/>
    <x v="2"/>
    <x v="0"/>
    <n v="200"/>
    <m/>
    <x v="17"/>
    <m/>
  </r>
  <r>
    <n v="2023061"/>
    <n v="23373"/>
    <s v="ASD  Giess"/>
    <n v="14818"/>
    <s v="ASD"/>
    <d v="2023-09-29T00:00:00"/>
    <d v="2023-10-13T00:00:00"/>
    <s v="Giessen"/>
    <n v="10"/>
    <n v="12000"/>
    <n v="12000"/>
    <n v="14"/>
    <n v="60"/>
    <x v="2"/>
    <x v="2"/>
    <x v="0"/>
    <n v="200"/>
    <m/>
    <x v="18"/>
    <m/>
  </r>
  <r>
    <n v="2023062"/>
    <n v="23373"/>
    <s v="ASD  Giess"/>
    <n v="14818"/>
    <s v="ASD"/>
    <d v="2023-10-06T00:00:00"/>
    <d v="2023-10-20T00:00:00"/>
    <s v="Giessen"/>
    <n v="10"/>
    <n v="12000"/>
    <n v="12000"/>
    <n v="14"/>
    <n v="60"/>
    <x v="2"/>
    <x v="2"/>
    <x v="0"/>
    <n v="200"/>
    <m/>
    <x v="19"/>
    <m/>
  </r>
  <r>
    <n v="2023063"/>
    <n v="23373"/>
    <s v="ASD  Giess"/>
    <n v="14818"/>
    <s v="ASD"/>
    <d v="2023-10-13T00:00:00"/>
    <d v="2023-10-27T00:00:00"/>
    <s v="Giessen"/>
    <n v="10"/>
    <n v="12000"/>
    <n v="12000"/>
    <n v="14"/>
    <n v="60"/>
    <x v="2"/>
    <x v="2"/>
    <x v="0"/>
    <n v="200"/>
    <m/>
    <x v="20"/>
    <m/>
  </r>
  <r>
    <n v="2023064"/>
    <n v="23255"/>
    <s v="Halter  Giess"/>
    <n v="14698"/>
    <s v="Halter"/>
    <d v="2023-05-26T00:00:00"/>
    <d v="2023-06-09T00:00:00"/>
    <s v="Giessen"/>
    <n v="10"/>
    <n v="1500"/>
    <n v="1500"/>
    <n v="14"/>
    <n v="60"/>
    <x v="3"/>
    <x v="3"/>
    <x v="1"/>
    <n v="25"/>
    <m/>
    <x v="0"/>
    <m/>
  </r>
  <r>
    <n v="2023065"/>
    <n v="23255"/>
    <s v="Halter  Giess"/>
    <n v="14698"/>
    <s v="Halter"/>
    <d v="2023-06-02T00:00:00"/>
    <d v="2023-06-16T00:00:00"/>
    <s v="Giessen"/>
    <n v="10"/>
    <n v="1500"/>
    <n v="1500"/>
    <n v="14"/>
    <n v="60"/>
    <x v="3"/>
    <x v="3"/>
    <x v="1"/>
    <n v="25"/>
    <m/>
    <x v="1"/>
    <m/>
  </r>
  <r>
    <n v="2023066"/>
    <n v="23255"/>
    <s v="Halter  Giess"/>
    <n v="14698"/>
    <s v="Halter"/>
    <d v="2023-06-09T00:00:00"/>
    <d v="2023-06-23T00:00:00"/>
    <s v="Giessen"/>
    <n v="10"/>
    <n v="1500"/>
    <n v="1500"/>
    <n v="14"/>
    <n v="60"/>
    <x v="3"/>
    <x v="3"/>
    <x v="1"/>
    <n v="25"/>
    <m/>
    <x v="2"/>
    <m/>
  </r>
  <r>
    <n v="2023067"/>
    <n v="23255"/>
    <s v="Halter  Giess"/>
    <n v="14698"/>
    <s v="Halter"/>
    <d v="2023-06-16T00:00:00"/>
    <d v="2023-06-30T00:00:00"/>
    <s v="Giessen"/>
    <n v="10"/>
    <n v="1500"/>
    <n v="1500"/>
    <n v="14"/>
    <n v="60"/>
    <x v="3"/>
    <x v="3"/>
    <x v="1"/>
    <n v="25"/>
    <m/>
    <x v="3"/>
    <m/>
  </r>
  <r>
    <n v="2023068"/>
    <n v="23255"/>
    <s v="Halter  Giess"/>
    <n v="14698"/>
    <s v="Halter"/>
    <d v="2023-06-23T00:00:00"/>
    <d v="2023-07-07T00:00:00"/>
    <s v="Giessen"/>
    <n v="10"/>
    <n v="1500"/>
    <n v="1500"/>
    <n v="14"/>
    <n v="60"/>
    <x v="3"/>
    <x v="3"/>
    <x v="1"/>
    <n v="25"/>
    <m/>
    <x v="4"/>
    <m/>
  </r>
  <r>
    <n v="2023069"/>
    <n v="23255"/>
    <s v="Halter  Giess"/>
    <n v="14698"/>
    <s v="Halter"/>
    <d v="2023-06-30T00:00:00"/>
    <d v="2023-07-14T00:00:00"/>
    <s v="Giessen"/>
    <n v="10"/>
    <n v="1500"/>
    <n v="1500"/>
    <n v="14"/>
    <n v="60"/>
    <x v="3"/>
    <x v="3"/>
    <x v="1"/>
    <n v="25"/>
    <m/>
    <x v="5"/>
    <m/>
  </r>
  <r>
    <n v="2023070"/>
    <n v="23255"/>
    <s v="Halter  Giess"/>
    <n v="14698"/>
    <s v="Halter"/>
    <d v="2023-07-07T00:00:00"/>
    <d v="2023-07-21T00:00:00"/>
    <s v="Giessen"/>
    <n v="10"/>
    <n v="1500"/>
    <n v="1500"/>
    <n v="14"/>
    <n v="60"/>
    <x v="3"/>
    <x v="3"/>
    <x v="1"/>
    <n v="25"/>
    <m/>
    <x v="6"/>
    <m/>
  </r>
  <r>
    <n v="2023071"/>
    <n v="23255"/>
    <s v="Halter  Giess"/>
    <n v="14698"/>
    <s v="Halter"/>
    <d v="2023-07-14T00:00:00"/>
    <d v="2023-07-28T00:00:00"/>
    <s v="Giessen"/>
    <n v="10"/>
    <n v="1500"/>
    <n v="1500"/>
    <n v="14"/>
    <n v="60"/>
    <x v="3"/>
    <x v="3"/>
    <x v="1"/>
    <n v="25"/>
    <m/>
    <x v="7"/>
    <m/>
  </r>
  <r>
    <n v="2023072"/>
    <n v="23255"/>
    <s v="Halter  Giess"/>
    <n v="14698"/>
    <s v="Halter"/>
    <d v="2023-07-21T00:00:00"/>
    <d v="2023-08-04T00:00:00"/>
    <s v="Giessen"/>
    <n v="10"/>
    <n v="1500"/>
    <n v="1500"/>
    <n v="14"/>
    <n v="60"/>
    <x v="3"/>
    <x v="3"/>
    <x v="1"/>
    <n v="25"/>
    <m/>
    <x v="8"/>
    <m/>
  </r>
  <r>
    <n v="2023073"/>
    <n v="23255"/>
    <s v="Halter  Giess"/>
    <n v="14698"/>
    <s v="Halter"/>
    <d v="2023-07-28T00:00:00"/>
    <d v="2023-08-11T00:00:00"/>
    <s v="Giessen"/>
    <n v="10"/>
    <n v="1500"/>
    <n v="1500"/>
    <n v="14"/>
    <n v="60"/>
    <x v="3"/>
    <x v="3"/>
    <x v="1"/>
    <n v="25"/>
    <m/>
    <x v="9"/>
    <m/>
  </r>
  <r>
    <n v="2023074"/>
    <n v="23255"/>
    <s v="Halter  Giess"/>
    <n v="14698"/>
    <s v="Halter"/>
    <d v="2023-08-04T00:00:00"/>
    <d v="2023-08-18T00:00:00"/>
    <s v="Giessen"/>
    <n v="10"/>
    <n v="1500"/>
    <n v="1500"/>
    <n v="14"/>
    <n v="60"/>
    <x v="3"/>
    <x v="3"/>
    <x v="1"/>
    <n v="25"/>
    <m/>
    <x v="10"/>
    <m/>
  </r>
  <r>
    <n v="2023075"/>
    <n v="23255"/>
    <s v="Halter  Giess"/>
    <n v="14698"/>
    <s v="Halter"/>
    <d v="2023-08-11T00:00:00"/>
    <d v="2023-08-25T00:00:00"/>
    <s v="Giessen"/>
    <n v="10"/>
    <n v="1500"/>
    <n v="1500"/>
    <n v="14"/>
    <n v="60"/>
    <x v="3"/>
    <x v="3"/>
    <x v="1"/>
    <n v="25"/>
    <m/>
    <x v="11"/>
    <m/>
  </r>
  <r>
    <n v="2023076"/>
    <n v="23255"/>
    <s v="Halter  Giess"/>
    <n v="14698"/>
    <s v="Halter"/>
    <d v="2023-08-18T00:00:00"/>
    <d v="2023-09-01T00:00:00"/>
    <s v="Giessen"/>
    <n v="10"/>
    <n v="1500"/>
    <n v="1500"/>
    <n v="14"/>
    <n v="60"/>
    <x v="3"/>
    <x v="3"/>
    <x v="1"/>
    <n v="25"/>
    <m/>
    <x v="12"/>
    <m/>
  </r>
  <r>
    <n v="2023077"/>
    <n v="23255"/>
    <s v="Halter  Giess"/>
    <n v="14698"/>
    <s v="Halter"/>
    <d v="2023-08-25T00:00:00"/>
    <d v="2023-09-08T00:00:00"/>
    <s v="Giessen"/>
    <n v="10"/>
    <n v="1500"/>
    <n v="1500"/>
    <n v="14"/>
    <n v="60"/>
    <x v="3"/>
    <x v="3"/>
    <x v="1"/>
    <n v="25"/>
    <m/>
    <x v="13"/>
    <m/>
  </r>
  <r>
    <n v="2023078"/>
    <n v="23255"/>
    <s v="Halter  Giess"/>
    <n v="14698"/>
    <s v="Halter"/>
    <d v="2023-09-01T00:00:00"/>
    <d v="2023-09-15T00:00:00"/>
    <s v="Giessen"/>
    <n v="10"/>
    <n v="1500"/>
    <n v="1500"/>
    <n v="14"/>
    <n v="60"/>
    <x v="3"/>
    <x v="3"/>
    <x v="1"/>
    <n v="25"/>
    <m/>
    <x v="14"/>
    <m/>
  </r>
  <r>
    <n v="2023079"/>
    <n v="23255"/>
    <s v="Halter  Giess"/>
    <n v="14698"/>
    <s v="Halter"/>
    <d v="2023-09-08T00:00:00"/>
    <d v="2023-09-22T00:00:00"/>
    <s v="Giessen"/>
    <n v="10"/>
    <n v="1500"/>
    <n v="1500"/>
    <n v="14"/>
    <n v="60"/>
    <x v="3"/>
    <x v="3"/>
    <x v="1"/>
    <n v="25"/>
    <m/>
    <x v="15"/>
    <m/>
  </r>
  <r>
    <n v="2023080"/>
    <n v="23255"/>
    <s v="Halter  Giess"/>
    <n v="14698"/>
    <s v="Halter"/>
    <d v="2023-09-15T00:00:00"/>
    <d v="2023-09-29T00:00:00"/>
    <s v="Giessen"/>
    <n v="10"/>
    <n v="1500"/>
    <n v="1500"/>
    <n v="14"/>
    <n v="60"/>
    <x v="3"/>
    <x v="3"/>
    <x v="1"/>
    <n v="25"/>
    <m/>
    <x v="16"/>
    <m/>
  </r>
  <r>
    <n v="2023081"/>
    <n v="23255"/>
    <s v="Halter  Giess"/>
    <n v="14698"/>
    <s v="Halter"/>
    <d v="2023-09-22T00:00:00"/>
    <d v="2023-10-06T00:00:00"/>
    <s v="Giessen"/>
    <n v="10"/>
    <n v="1500"/>
    <n v="1500"/>
    <n v="14"/>
    <n v="60"/>
    <x v="3"/>
    <x v="3"/>
    <x v="1"/>
    <n v="25"/>
    <m/>
    <x v="17"/>
    <m/>
  </r>
  <r>
    <n v="2023082"/>
    <n v="23255"/>
    <s v="Halter  Giess"/>
    <n v="14698"/>
    <s v="Halter"/>
    <d v="2023-09-29T00:00:00"/>
    <d v="2023-10-13T00:00:00"/>
    <s v="Giessen"/>
    <n v="10"/>
    <n v="1500"/>
    <n v="1500"/>
    <n v="14"/>
    <n v="60"/>
    <x v="3"/>
    <x v="3"/>
    <x v="1"/>
    <n v="25"/>
    <m/>
    <x v="18"/>
    <m/>
  </r>
  <r>
    <n v="2023083"/>
    <n v="23255"/>
    <s v="Halter  Giess"/>
    <n v="14698"/>
    <s v="Halter"/>
    <d v="2023-10-06T00:00:00"/>
    <d v="2023-10-20T00:00:00"/>
    <s v="Giessen"/>
    <n v="10"/>
    <n v="1500"/>
    <n v="1500"/>
    <n v="14"/>
    <n v="60"/>
    <x v="3"/>
    <x v="3"/>
    <x v="1"/>
    <n v="25"/>
    <m/>
    <x v="19"/>
    <m/>
  </r>
  <r>
    <n v="2023084"/>
    <n v="23255"/>
    <s v="Halter  Giess"/>
    <n v="14698"/>
    <s v="Halter"/>
    <d v="2023-10-13T00:00:00"/>
    <d v="2023-10-27T00:00:00"/>
    <s v="Giessen"/>
    <n v="10"/>
    <n v="1500"/>
    <n v="1500"/>
    <n v="14"/>
    <n v="60"/>
    <x v="3"/>
    <x v="3"/>
    <x v="1"/>
    <n v="25"/>
    <m/>
    <x v="20"/>
    <m/>
  </r>
  <r>
    <n v="2023085"/>
    <n v="23367"/>
    <s v="Adapter  Giess"/>
    <n v="14804"/>
    <s v="Adapter"/>
    <d v="2023-05-26T00:00:00"/>
    <d v="2023-06-09T00:00:00"/>
    <s v="Giessen"/>
    <n v="10"/>
    <n v="6000"/>
    <n v="6000"/>
    <n v="14"/>
    <n v="60"/>
    <x v="2"/>
    <x v="2"/>
    <x v="0"/>
    <n v="100"/>
    <m/>
    <x v="0"/>
    <m/>
  </r>
  <r>
    <n v="2023086"/>
    <n v="23367"/>
    <s v="Adapter  Giess"/>
    <n v="14804"/>
    <s v="Adapter"/>
    <d v="2023-06-02T00:00:00"/>
    <d v="2023-06-16T00:00:00"/>
    <s v="Giessen"/>
    <n v="10"/>
    <n v="6000"/>
    <n v="6000"/>
    <n v="14"/>
    <n v="60"/>
    <x v="2"/>
    <x v="2"/>
    <x v="0"/>
    <n v="100"/>
    <m/>
    <x v="1"/>
    <m/>
  </r>
  <r>
    <n v="2023087"/>
    <n v="23367"/>
    <s v="Adapter  Giess"/>
    <n v="14804"/>
    <s v="Adapter"/>
    <d v="2023-06-09T00:00:00"/>
    <d v="2023-06-23T00:00:00"/>
    <s v="Giessen"/>
    <n v="10"/>
    <n v="6000"/>
    <n v="6000"/>
    <n v="14"/>
    <n v="60"/>
    <x v="2"/>
    <x v="2"/>
    <x v="0"/>
    <n v="100"/>
    <m/>
    <x v="2"/>
    <m/>
  </r>
  <r>
    <n v="2023088"/>
    <n v="23367"/>
    <s v="Adapter  Giess"/>
    <n v="14804"/>
    <s v="Adapter"/>
    <d v="2023-06-16T00:00:00"/>
    <d v="2023-06-30T00:00:00"/>
    <s v="Giessen"/>
    <n v="10"/>
    <n v="6000"/>
    <n v="6000"/>
    <n v="14"/>
    <n v="60"/>
    <x v="2"/>
    <x v="2"/>
    <x v="0"/>
    <n v="100"/>
    <m/>
    <x v="3"/>
    <m/>
  </r>
  <r>
    <n v="2023089"/>
    <n v="23367"/>
    <s v="Adapter  Giess"/>
    <n v="14804"/>
    <s v="Adapter"/>
    <d v="2023-06-23T00:00:00"/>
    <d v="2023-07-07T00:00:00"/>
    <s v="Giessen"/>
    <n v="10"/>
    <n v="6000"/>
    <n v="6000"/>
    <n v="14"/>
    <n v="60"/>
    <x v="2"/>
    <x v="2"/>
    <x v="0"/>
    <n v="100"/>
    <m/>
    <x v="4"/>
    <m/>
  </r>
  <r>
    <n v="2023090"/>
    <n v="23367"/>
    <s v="Adapter  Giess"/>
    <n v="14804"/>
    <s v="Adapter"/>
    <d v="2023-06-30T00:00:00"/>
    <d v="2023-07-14T00:00:00"/>
    <s v="Giessen"/>
    <n v="10"/>
    <n v="6000"/>
    <n v="6000"/>
    <n v="14"/>
    <n v="60"/>
    <x v="2"/>
    <x v="2"/>
    <x v="0"/>
    <n v="100"/>
    <m/>
    <x v="5"/>
    <m/>
  </r>
  <r>
    <n v="2023091"/>
    <n v="23367"/>
    <s v="Adapter  Giess"/>
    <n v="14804"/>
    <s v="Adapter"/>
    <d v="2023-07-07T00:00:00"/>
    <d v="2023-07-21T00:00:00"/>
    <s v="Giessen"/>
    <n v="10"/>
    <n v="6000"/>
    <n v="6000"/>
    <n v="14"/>
    <n v="60"/>
    <x v="2"/>
    <x v="2"/>
    <x v="0"/>
    <n v="100"/>
    <m/>
    <x v="6"/>
    <m/>
  </r>
  <r>
    <n v="2023092"/>
    <n v="23367"/>
    <s v="Adapter  Giess"/>
    <n v="14804"/>
    <s v="Adapter"/>
    <d v="2023-07-14T00:00:00"/>
    <d v="2023-07-28T00:00:00"/>
    <s v="Giessen"/>
    <n v="10"/>
    <n v="6000"/>
    <n v="6000"/>
    <n v="14"/>
    <n v="60"/>
    <x v="2"/>
    <x v="2"/>
    <x v="0"/>
    <n v="100"/>
    <m/>
    <x v="7"/>
    <m/>
  </r>
  <r>
    <n v="2023093"/>
    <n v="23367"/>
    <s v="Adapter  Giess"/>
    <n v="14804"/>
    <s v="Adapter"/>
    <d v="2023-07-21T00:00:00"/>
    <d v="2023-08-04T00:00:00"/>
    <s v="Giessen"/>
    <n v="10"/>
    <n v="6000"/>
    <n v="6000"/>
    <n v="14"/>
    <n v="60"/>
    <x v="2"/>
    <x v="2"/>
    <x v="0"/>
    <n v="100"/>
    <m/>
    <x v="8"/>
    <m/>
  </r>
  <r>
    <n v="2023094"/>
    <n v="23367"/>
    <s v="Adapter  Giess"/>
    <n v="14804"/>
    <s v="Adapter"/>
    <d v="2023-07-28T00:00:00"/>
    <d v="2023-08-11T00:00:00"/>
    <s v="Giessen"/>
    <n v="10"/>
    <n v="6000"/>
    <n v="6000"/>
    <n v="14"/>
    <n v="60"/>
    <x v="2"/>
    <x v="2"/>
    <x v="0"/>
    <n v="100"/>
    <m/>
    <x v="9"/>
    <m/>
  </r>
  <r>
    <n v="2023095"/>
    <n v="23367"/>
    <s v="Adapter  Giess"/>
    <n v="14804"/>
    <s v="Adapter"/>
    <d v="2023-08-04T00:00:00"/>
    <d v="2023-08-18T00:00:00"/>
    <s v="Giessen"/>
    <n v="10"/>
    <n v="6000"/>
    <n v="6000"/>
    <n v="14"/>
    <n v="60"/>
    <x v="2"/>
    <x v="2"/>
    <x v="0"/>
    <n v="100"/>
    <m/>
    <x v="10"/>
    <m/>
  </r>
  <r>
    <n v="2023096"/>
    <n v="23367"/>
    <s v="Adapter  Giess"/>
    <n v="14804"/>
    <s v="Adapter"/>
    <d v="2023-08-11T00:00:00"/>
    <d v="2023-08-25T00:00:00"/>
    <s v="Giessen"/>
    <n v="10"/>
    <n v="6000"/>
    <n v="6000"/>
    <n v="14"/>
    <n v="60"/>
    <x v="2"/>
    <x v="2"/>
    <x v="0"/>
    <n v="100"/>
    <m/>
    <x v="11"/>
    <m/>
  </r>
  <r>
    <n v="2023097"/>
    <n v="23367"/>
    <s v="Adapter  Giess"/>
    <n v="14804"/>
    <s v="Adapter"/>
    <d v="2023-08-18T00:00:00"/>
    <d v="2023-09-01T00:00:00"/>
    <s v="Giessen"/>
    <n v="10"/>
    <n v="6000"/>
    <n v="6000"/>
    <n v="14"/>
    <n v="60"/>
    <x v="2"/>
    <x v="2"/>
    <x v="0"/>
    <n v="100"/>
    <m/>
    <x v="12"/>
    <m/>
  </r>
  <r>
    <n v="2023098"/>
    <n v="23367"/>
    <s v="Adapter  Giess"/>
    <n v="14804"/>
    <s v="Adapter"/>
    <d v="2023-08-25T00:00:00"/>
    <d v="2023-09-08T00:00:00"/>
    <s v="Giessen"/>
    <n v="10"/>
    <n v="6000"/>
    <n v="6000"/>
    <n v="14"/>
    <n v="60"/>
    <x v="2"/>
    <x v="2"/>
    <x v="0"/>
    <n v="100"/>
    <m/>
    <x v="13"/>
    <m/>
  </r>
  <r>
    <n v="2023099"/>
    <n v="23367"/>
    <s v="Adapter  Giess"/>
    <n v="14804"/>
    <s v="Adapter"/>
    <d v="2023-09-01T00:00:00"/>
    <d v="2023-09-15T00:00:00"/>
    <s v="Giessen"/>
    <n v="10"/>
    <n v="6000"/>
    <n v="6000"/>
    <n v="14"/>
    <n v="60"/>
    <x v="2"/>
    <x v="2"/>
    <x v="0"/>
    <n v="100"/>
    <m/>
    <x v="14"/>
    <m/>
  </r>
  <r>
    <n v="2023100"/>
    <n v="23367"/>
    <s v="Adapter  Giess"/>
    <n v="14804"/>
    <s v="Adapter"/>
    <d v="2023-09-08T00:00:00"/>
    <d v="2023-09-22T00:00:00"/>
    <s v="Giessen"/>
    <n v="10"/>
    <n v="6000"/>
    <n v="6000"/>
    <n v="14"/>
    <n v="60"/>
    <x v="2"/>
    <x v="2"/>
    <x v="0"/>
    <n v="100"/>
    <m/>
    <x v="15"/>
    <m/>
  </r>
  <r>
    <n v="2023101"/>
    <n v="23367"/>
    <s v="Adapter  Giess"/>
    <n v="14804"/>
    <s v="Adapter"/>
    <d v="2023-09-15T00:00:00"/>
    <d v="2023-09-29T00:00:00"/>
    <s v="Giessen"/>
    <n v="10"/>
    <n v="6000"/>
    <n v="6000"/>
    <n v="14"/>
    <n v="60"/>
    <x v="2"/>
    <x v="2"/>
    <x v="0"/>
    <n v="100"/>
    <m/>
    <x v="16"/>
    <m/>
  </r>
  <r>
    <n v="2023102"/>
    <n v="23367"/>
    <s v="Adapter  Giess"/>
    <n v="14804"/>
    <s v="Adapter"/>
    <d v="2023-09-22T00:00:00"/>
    <d v="2023-10-06T00:00:00"/>
    <s v="Giessen"/>
    <n v="10"/>
    <n v="6000"/>
    <n v="6000"/>
    <n v="14"/>
    <n v="60"/>
    <x v="2"/>
    <x v="2"/>
    <x v="0"/>
    <n v="100"/>
    <m/>
    <x v="17"/>
    <m/>
  </r>
  <r>
    <n v="2023103"/>
    <n v="23367"/>
    <s v="Adapter  Giess"/>
    <n v="14804"/>
    <s v="Adapter"/>
    <d v="2023-09-29T00:00:00"/>
    <d v="2023-10-13T00:00:00"/>
    <s v="Giessen"/>
    <n v="10"/>
    <n v="6000"/>
    <n v="6000"/>
    <n v="14"/>
    <n v="60"/>
    <x v="2"/>
    <x v="2"/>
    <x v="0"/>
    <n v="100"/>
    <m/>
    <x v="18"/>
    <m/>
  </r>
  <r>
    <n v="2023104"/>
    <n v="23367"/>
    <s v="Adapter  Giess"/>
    <n v="14804"/>
    <s v="Adapter"/>
    <d v="2023-10-06T00:00:00"/>
    <d v="2023-10-20T00:00:00"/>
    <s v="Giessen"/>
    <n v="10"/>
    <n v="6000"/>
    <n v="6000"/>
    <n v="14"/>
    <n v="60"/>
    <x v="2"/>
    <x v="2"/>
    <x v="0"/>
    <n v="100"/>
    <m/>
    <x v="19"/>
    <m/>
  </r>
  <r>
    <n v="2023105"/>
    <n v="23367"/>
    <s v="Adapter  Giess"/>
    <n v="14804"/>
    <s v="Adapter"/>
    <d v="2023-10-13T00:00:00"/>
    <d v="2023-10-27T00:00:00"/>
    <s v="Giessen"/>
    <n v="10"/>
    <n v="6000"/>
    <n v="6000"/>
    <n v="14"/>
    <n v="60"/>
    <x v="2"/>
    <x v="2"/>
    <x v="0"/>
    <n v="100"/>
    <m/>
    <x v="20"/>
    <m/>
  </r>
  <r>
    <n v="2023106"/>
    <n v="23116"/>
    <s v="Kühlkörper  Giess"/>
    <n v="23114"/>
    <s v="Kühlkörper"/>
    <d v="2023-05-26T00:00:00"/>
    <d v="2023-06-09T00:00:00"/>
    <s v="Giessen"/>
    <n v="10"/>
    <n v="700"/>
    <n v="700"/>
    <n v="14"/>
    <n v="60"/>
    <x v="4"/>
    <x v="4"/>
    <x v="0"/>
    <n v="11.666666666666666"/>
    <m/>
    <x v="0"/>
    <m/>
  </r>
  <r>
    <n v="2023107"/>
    <n v="23116"/>
    <s v="Kühlkörper  Giess"/>
    <n v="23114"/>
    <s v="Kühlkörper"/>
    <d v="2023-06-02T00:00:00"/>
    <d v="2023-06-16T00:00:00"/>
    <s v="Giessen"/>
    <n v="10"/>
    <n v="700"/>
    <n v="700"/>
    <n v="14"/>
    <n v="60"/>
    <x v="4"/>
    <x v="4"/>
    <x v="0"/>
    <n v="11.666666666666666"/>
    <m/>
    <x v="1"/>
    <m/>
  </r>
  <r>
    <n v="2023108"/>
    <n v="23116"/>
    <s v="Kühlkörper  Giess"/>
    <n v="23114"/>
    <s v="Kühlkörper"/>
    <d v="2023-06-09T00:00:00"/>
    <d v="2023-06-23T00:00:00"/>
    <s v="Giessen"/>
    <n v="10"/>
    <n v="700"/>
    <n v="700"/>
    <n v="14"/>
    <n v="60"/>
    <x v="4"/>
    <x v="4"/>
    <x v="0"/>
    <n v="11.666666666666666"/>
    <m/>
    <x v="2"/>
    <m/>
  </r>
  <r>
    <n v="2023109"/>
    <n v="23116"/>
    <s v="Kühlkörper  Giess"/>
    <n v="23114"/>
    <s v="Kühlkörper"/>
    <d v="2023-06-16T00:00:00"/>
    <d v="2023-06-30T00:00:00"/>
    <s v="Giessen"/>
    <n v="10"/>
    <n v="700"/>
    <n v="700"/>
    <n v="14"/>
    <n v="60"/>
    <x v="4"/>
    <x v="4"/>
    <x v="0"/>
    <n v="11.666666666666666"/>
    <m/>
    <x v="3"/>
    <m/>
  </r>
  <r>
    <n v="2023110"/>
    <n v="23116"/>
    <s v="Kühlkörper  Giess"/>
    <n v="23114"/>
    <s v="Kühlkörper"/>
    <d v="2023-06-23T00:00:00"/>
    <d v="2023-07-07T00:00:00"/>
    <s v="Giessen"/>
    <n v="10"/>
    <n v="700"/>
    <n v="700"/>
    <n v="14"/>
    <n v="60"/>
    <x v="4"/>
    <x v="4"/>
    <x v="0"/>
    <n v="11.666666666666666"/>
    <m/>
    <x v="4"/>
    <m/>
  </r>
  <r>
    <n v="2023111"/>
    <n v="23116"/>
    <s v="Kühlkörper  Giess"/>
    <n v="23114"/>
    <s v="Kühlkörper"/>
    <d v="2023-06-30T00:00:00"/>
    <d v="2023-07-14T00:00:00"/>
    <s v="Giessen"/>
    <n v="10"/>
    <n v="700"/>
    <n v="700"/>
    <n v="14"/>
    <n v="60"/>
    <x v="4"/>
    <x v="4"/>
    <x v="0"/>
    <n v="11.666666666666666"/>
    <m/>
    <x v="5"/>
    <m/>
  </r>
  <r>
    <n v="2023112"/>
    <n v="23116"/>
    <s v="Kühlkörper  Giess"/>
    <n v="23114"/>
    <s v="Kühlkörper"/>
    <d v="2023-07-07T00:00:00"/>
    <d v="2023-07-21T00:00:00"/>
    <s v="Giessen"/>
    <n v="10"/>
    <n v="700"/>
    <n v="700"/>
    <n v="14"/>
    <n v="60"/>
    <x v="4"/>
    <x v="4"/>
    <x v="0"/>
    <n v="11.666666666666666"/>
    <m/>
    <x v="6"/>
    <m/>
  </r>
  <r>
    <n v="2023113"/>
    <n v="23116"/>
    <s v="Kühlkörper  Giess"/>
    <n v="23114"/>
    <s v="Kühlkörper"/>
    <d v="2023-07-14T00:00:00"/>
    <d v="2023-07-28T00:00:00"/>
    <s v="Giessen"/>
    <n v="10"/>
    <n v="700"/>
    <n v="700"/>
    <n v="14"/>
    <n v="60"/>
    <x v="4"/>
    <x v="4"/>
    <x v="0"/>
    <n v="11.666666666666666"/>
    <m/>
    <x v="7"/>
    <m/>
  </r>
  <r>
    <n v="2023114"/>
    <n v="23116"/>
    <s v="Kühlkörper  Giess"/>
    <n v="23114"/>
    <s v="Kühlkörper"/>
    <d v="2023-07-21T00:00:00"/>
    <d v="2023-08-04T00:00:00"/>
    <s v="Giessen"/>
    <n v="10"/>
    <n v="700"/>
    <n v="700"/>
    <n v="14"/>
    <n v="60"/>
    <x v="4"/>
    <x v="4"/>
    <x v="0"/>
    <n v="11.666666666666666"/>
    <m/>
    <x v="8"/>
    <m/>
  </r>
  <r>
    <n v="2023115"/>
    <n v="23116"/>
    <s v="Kühlkörper  Giess"/>
    <n v="23114"/>
    <s v="Kühlkörper"/>
    <d v="2023-07-28T00:00:00"/>
    <d v="2023-08-11T00:00:00"/>
    <s v="Giessen"/>
    <n v="10"/>
    <n v="700"/>
    <n v="700"/>
    <n v="14"/>
    <n v="60"/>
    <x v="4"/>
    <x v="4"/>
    <x v="0"/>
    <n v="11.666666666666666"/>
    <m/>
    <x v="9"/>
    <m/>
  </r>
  <r>
    <n v="2023116"/>
    <n v="23116"/>
    <s v="Kühlkörper  Giess"/>
    <n v="23114"/>
    <s v="Kühlkörper"/>
    <d v="2023-08-04T00:00:00"/>
    <d v="2023-08-18T00:00:00"/>
    <s v="Giessen"/>
    <n v="10"/>
    <n v="700"/>
    <n v="700"/>
    <n v="14"/>
    <n v="60"/>
    <x v="4"/>
    <x v="4"/>
    <x v="0"/>
    <n v="11.666666666666666"/>
    <m/>
    <x v="10"/>
    <m/>
  </r>
  <r>
    <n v="2023117"/>
    <n v="23116"/>
    <s v="Kühlkörper  Giess"/>
    <n v="23114"/>
    <s v="Kühlkörper"/>
    <d v="2023-08-11T00:00:00"/>
    <d v="2023-08-25T00:00:00"/>
    <s v="Giessen"/>
    <n v="10"/>
    <n v="700"/>
    <n v="700"/>
    <n v="14"/>
    <n v="60"/>
    <x v="4"/>
    <x v="4"/>
    <x v="0"/>
    <n v="11.666666666666666"/>
    <m/>
    <x v="11"/>
    <m/>
  </r>
  <r>
    <n v="2023118"/>
    <n v="23116"/>
    <s v="Kühlkörper  Giess"/>
    <n v="23114"/>
    <s v="Kühlkörper"/>
    <d v="2023-08-18T00:00:00"/>
    <d v="2023-09-01T00:00:00"/>
    <s v="Giessen"/>
    <n v="10"/>
    <n v="700"/>
    <n v="700"/>
    <n v="14"/>
    <n v="60"/>
    <x v="4"/>
    <x v="4"/>
    <x v="0"/>
    <n v="11.666666666666666"/>
    <m/>
    <x v="12"/>
    <m/>
  </r>
  <r>
    <n v="2023119"/>
    <n v="23116"/>
    <s v="Kühlkörper  Giess"/>
    <n v="23114"/>
    <s v="Kühlkörper"/>
    <d v="2023-08-25T00:00:00"/>
    <d v="2023-09-08T00:00:00"/>
    <s v="Giessen"/>
    <n v="10"/>
    <n v="700"/>
    <n v="700"/>
    <n v="14"/>
    <n v="60"/>
    <x v="4"/>
    <x v="4"/>
    <x v="0"/>
    <n v="11.666666666666666"/>
    <m/>
    <x v="13"/>
    <m/>
  </r>
  <r>
    <n v="2023120"/>
    <n v="23116"/>
    <s v="Kühlkörper  Giess"/>
    <n v="23114"/>
    <s v="Kühlkörper"/>
    <d v="2023-09-01T00:00:00"/>
    <d v="2023-09-15T00:00:00"/>
    <s v="Giessen"/>
    <n v="10"/>
    <n v="700"/>
    <n v="700"/>
    <n v="14"/>
    <n v="60"/>
    <x v="4"/>
    <x v="4"/>
    <x v="0"/>
    <n v="11.666666666666666"/>
    <m/>
    <x v="14"/>
    <m/>
  </r>
  <r>
    <n v="2023121"/>
    <n v="23116"/>
    <s v="Kühlkörper  Giess"/>
    <n v="23114"/>
    <s v="Kühlkörper"/>
    <d v="2023-09-08T00:00:00"/>
    <d v="2023-09-22T00:00:00"/>
    <s v="Giessen"/>
    <n v="10"/>
    <n v="700"/>
    <n v="700"/>
    <n v="14"/>
    <n v="60"/>
    <x v="4"/>
    <x v="4"/>
    <x v="0"/>
    <n v="11.666666666666666"/>
    <m/>
    <x v="15"/>
    <m/>
  </r>
  <r>
    <n v="2023122"/>
    <n v="23116"/>
    <s v="Kühlkörper  Giess"/>
    <n v="23114"/>
    <s v="Kühlkörper"/>
    <d v="2023-09-15T00:00:00"/>
    <d v="2023-09-29T00:00:00"/>
    <s v="Giessen"/>
    <n v="10"/>
    <n v="700"/>
    <n v="700"/>
    <n v="14"/>
    <n v="60"/>
    <x v="4"/>
    <x v="4"/>
    <x v="0"/>
    <n v="11.666666666666666"/>
    <m/>
    <x v="16"/>
    <m/>
  </r>
  <r>
    <n v="2023123"/>
    <n v="23116"/>
    <s v="Kühlkörper  Giess"/>
    <n v="23114"/>
    <s v="Kühlkörper"/>
    <d v="2023-09-22T00:00:00"/>
    <d v="2023-10-06T00:00:00"/>
    <s v="Giessen"/>
    <n v="10"/>
    <n v="700"/>
    <n v="700"/>
    <n v="14"/>
    <n v="60"/>
    <x v="4"/>
    <x v="4"/>
    <x v="0"/>
    <n v="11.666666666666666"/>
    <m/>
    <x v="17"/>
    <m/>
  </r>
  <r>
    <n v="2023124"/>
    <n v="23116"/>
    <s v="Kühlkörper  Giess"/>
    <n v="23114"/>
    <s v="Kühlkörper"/>
    <d v="2023-09-29T00:00:00"/>
    <d v="2023-10-13T00:00:00"/>
    <s v="Giessen"/>
    <n v="10"/>
    <n v="700"/>
    <n v="700"/>
    <n v="14"/>
    <n v="60"/>
    <x v="4"/>
    <x v="4"/>
    <x v="0"/>
    <n v="11.666666666666666"/>
    <m/>
    <x v="18"/>
    <m/>
  </r>
  <r>
    <n v="2023125"/>
    <n v="23116"/>
    <s v="Kühlkörper  Giess"/>
    <n v="23114"/>
    <s v="Kühlkörper"/>
    <d v="2023-10-06T00:00:00"/>
    <d v="2023-10-20T00:00:00"/>
    <s v="Giessen"/>
    <n v="10"/>
    <n v="700"/>
    <n v="700"/>
    <n v="14"/>
    <n v="60"/>
    <x v="4"/>
    <x v="4"/>
    <x v="0"/>
    <n v="11.666666666666666"/>
    <m/>
    <x v="19"/>
    <m/>
  </r>
  <r>
    <n v="2023126"/>
    <n v="23116"/>
    <s v="Kühlkörper  Giess"/>
    <n v="23114"/>
    <s v="Kühlkörper"/>
    <d v="2023-10-13T00:00:00"/>
    <d v="2023-10-27T00:00:00"/>
    <s v="Giessen"/>
    <n v="10"/>
    <n v="700"/>
    <n v="700"/>
    <n v="14"/>
    <n v="60"/>
    <x v="4"/>
    <x v="4"/>
    <x v="0"/>
    <n v="11.666666666666666"/>
    <m/>
    <x v="20"/>
    <m/>
  </r>
  <r>
    <m/>
    <m/>
    <m/>
    <m/>
    <m/>
    <m/>
    <m/>
    <m/>
    <m/>
    <m/>
    <m/>
    <m/>
    <m/>
    <x v="5"/>
    <x v="5"/>
    <x v="2"/>
    <m/>
    <m/>
    <x v="21"/>
    <m/>
  </r>
  <r>
    <m/>
    <m/>
    <m/>
    <m/>
    <m/>
    <m/>
    <m/>
    <s v="Kapa"/>
    <m/>
    <m/>
    <m/>
    <m/>
    <m/>
    <x v="0"/>
    <x v="0"/>
    <x v="0"/>
    <m/>
    <n v="84"/>
    <x v="0"/>
    <n v="0.7"/>
  </r>
  <r>
    <m/>
    <m/>
    <m/>
    <m/>
    <m/>
    <m/>
    <m/>
    <s v="Kapa"/>
    <m/>
    <m/>
    <m/>
    <m/>
    <m/>
    <x v="0"/>
    <x v="0"/>
    <x v="0"/>
    <m/>
    <n v="84"/>
    <x v="1"/>
    <n v="0.7"/>
  </r>
  <r>
    <m/>
    <m/>
    <m/>
    <m/>
    <m/>
    <m/>
    <m/>
    <s v="Kapa"/>
    <m/>
    <m/>
    <m/>
    <m/>
    <m/>
    <x v="0"/>
    <x v="0"/>
    <x v="0"/>
    <m/>
    <n v="84"/>
    <x v="2"/>
    <n v="0.7"/>
  </r>
  <r>
    <m/>
    <m/>
    <m/>
    <m/>
    <m/>
    <m/>
    <m/>
    <s v="Kapa"/>
    <m/>
    <m/>
    <m/>
    <m/>
    <m/>
    <x v="0"/>
    <x v="0"/>
    <x v="0"/>
    <m/>
    <n v="84"/>
    <x v="3"/>
    <n v="0.7"/>
  </r>
  <r>
    <m/>
    <m/>
    <m/>
    <m/>
    <m/>
    <m/>
    <m/>
    <s v="Kapa"/>
    <m/>
    <m/>
    <m/>
    <m/>
    <m/>
    <x v="0"/>
    <x v="0"/>
    <x v="0"/>
    <m/>
    <n v="84"/>
    <x v="4"/>
    <n v="0.7"/>
  </r>
  <r>
    <m/>
    <m/>
    <m/>
    <m/>
    <m/>
    <m/>
    <m/>
    <s v="Kapa"/>
    <m/>
    <m/>
    <m/>
    <m/>
    <m/>
    <x v="0"/>
    <x v="0"/>
    <x v="0"/>
    <m/>
    <n v="84"/>
    <x v="5"/>
    <n v="0.7"/>
  </r>
  <r>
    <m/>
    <m/>
    <m/>
    <m/>
    <m/>
    <m/>
    <m/>
    <s v="Kapa"/>
    <m/>
    <m/>
    <m/>
    <m/>
    <m/>
    <x v="0"/>
    <x v="0"/>
    <x v="0"/>
    <m/>
    <n v="84"/>
    <x v="6"/>
    <n v="0.7"/>
  </r>
  <r>
    <m/>
    <m/>
    <m/>
    <m/>
    <m/>
    <m/>
    <m/>
    <s v="Kapa"/>
    <m/>
    <m/>
    <m/>
    <m/>
    <m/>
    <x v="0"/>
    <x v="0"/>
    <x v="0"/>
    <m/>
    <n v="84"/>
    <x v="7"/>
    <n v="0.7"/>
  </r>
  <r>
    <m/>
    <m/>
    <m/>
    <m/>
    <m/>
    <m/>
    <m/>
    <s v="Kapa"/>
    <m/>
    <m/>
    <m/>
    <m/>
    <m/>
    <x v="0"/>
    <x v="0"/>
    <x v="0"/>
    <m/>
    <n v="84"/>
    <x v="8"/>
    <n v="0.7"/>
  </r>
  <r>
    <m/>
    <m/>
    <m/>
    <m/>
    <m/>
    <m/>
    <m/>
    <s v="Kapa"/>
    <m/>
    <m/>
    <m/>
    <m/>
    <m/>
    <x v="0"/>
    <x v="0"/>
    <x v="0"/>
    <m/>
    <n v="84"/>
    <x v="9"/>
    <n v="0.7"/>
  </r>
  <r>
    <m/>
    <m/>
    <m/>
    <m/>
    <m/>
    <m/>
    <m/>
    <s v="Kapa"/>
    <m/>
    <m/>
    <m/>
    <m/>
    <m/>
    <x v="0"/>
    <x v="0"/>
    <x v="0"/>
    <m/>
    <n v="84"/>
    <x v="10"/>
    <n v="0.7"/>
  </r>
  <r>
    <m/>
    <m/>
    <m/>
    <m/>
    <m/>
    <m/>
    <m/>
    <s v="Kapa"/>
    <m/>
    <m/>
    <m/>
    <m/>
    <m/>
    <x v="0"/>
    <x v="0"/>
    <x v="0"/>
    <m/>
    <n v="84"/>
    <x v="11"/>
    <n v="0.7"/>
  </r>
  <r>
    <m/>
    <m/>
    <m/>
    <m/>
    <m/>
    <m/>
    <m/>
    <s v="Kapa"/>
    <m/>
    <m/>
    <m/>
    <m/>
    <m/>
    <x v="0"/>
    <x v="0"/>
    <x v="0"/>
    <m/>
    <n v="84"/>
    <x v="12"/>
    <n v="0.7"/>
  </r>
  <r>
    <m/>
    <m/>
    <m/>
    <m/>
    <m/>
    <m/>
    <m/>
    <s v="Kapa"/>
    <m/>
    <m/>
    <m/>
    <m/>
    <m/>
    <x v="0"/>
    <x v="0"/>
    <x v="0"/>
    <m/>
    <n v="84"/>
    <x v="13"/>
    <n v="0.7"/>
  </r>
  <r>
    <m/>
    <m/>
    <m/>
    <m/>
    <m/>
    <m/>
    <m/>
    <s v="Kapa"/>
    <m/>
    <m/>
    <m/>
    <m/>
    <m/>
    <x v="0"/>
    <x v="0"/>
    <x v="0"/>
    <m/>
    <n v="84"/>
    <x v="14"/>
    <n v="0.7"/>
  </r>
  <r>
    <m/>
    <m/>
    <m/>
    <m/>
    <m/>
    <m/>
    <m/>
    <s v="Kapa"/>
    <m/>
    <m/>
    <m/>
    <m/>
    <m/>
    <x v="0"/>
    <x v="0"/>
    <x v="0"/>
    <m/>
    <n v="84"/>
    <x v="15"/>
    <n v="0.7"/>
  </r>
  <r>
    <m/>
    <m/>
    <m/>
    <m/>
    <m/>
    <m/>
    <m/>
    <s v="Kapa"/>
    <m/>
    <m/>
    <m/>
    <m/>
    <m/>
    <x v="0"/>
    <x v="0"/>
    <x v="0"/>
    <m/>
    <n v="84"/>
    <x v="16"/>
    <n v="0.7"/>
  </r>
  <r>
    <m/>
    <m/>
    <m/>
    <m/>
    <m/>
    <m/>
    <m/>
    <s v="Kapa"/>
    <m/>
    <m/>
    <m/>
    <m/>
    <m/>
    <x v="0"/>
    <x v="0"/>
    <x v="0"/>
    <m/>
    <n v="84"/>
    <x v="17"/>
    <n v="0.7"/>
  </r>
  <r>
    <m/>
    <m/>
    <m/>
    <m/>
    <m/>
    <m/>
    <m/>
    <s v="Kapa"/>
    <m/>
    <m/>
    <m/>
    <m/>
    <m/>
    <x v="0"/>
    <x v="0"/>
    <x v="0"/>
    <m/>
    <n v="84"/>
    <x v="18"/>
    <n v="0.7"/>
  </r>
  <r>
    <m/>
    <m/>
    <m/>
    <m/>
    <m/>
    <m/>
    <m/>
    <s v="Kapa"/>
    <m/>
    <m/>
    <m/>
    <m/>
    <m/>
    <x v="0"/>
    <x v="0"/>
    <x v="0"/>
    <m/>
    <n v="84"/>
    <x v="19"/>
    <n v="0.7"/>
  </r>
  <r>
    <m/>
    <m/>
    <m/>
    <m/>
    <m/>
    <m/>
    <m/>
    <s v="Kapa"/>
    <m/>
    <m/>
    <m/>
    <m/>
    <m/>
    <x v="0"/>
    <x v="0"/>
    <x v="0"/>
    <m/>
    <n v="84"/>
    <x v="20"/>
    <n v="0.7"/>
  </r>
  <r>
    <m/>
    <m/>
    <m/>
    <m/>
    <m/>
    <m/>
    <m/>
    <s v="Kapa"/>
    <m/>
    <m/>
    <m/>
    <m/>
    <m/>
    <x v="1"/>
    <x v="1"/>
    <x v="1"/>
    <m/>
    <n v="84"/>
    <x v="0"/>
    <n v="0.7"/>
  </r>
  <r>
    <m/>
    <m/>
    <m/>
    <m/>
    <m/>
    <m/>
    <m/>
    <s v="Kapa"/>
    <m/>
    <m/>
    <m/>
    <m/>
    <m/>
    <x v="1"/>
    <x v="1"/>
    <x v="1"/>
    <m/>
    <n v="84"/>
    <x v="1"/>
    <n v="0.7"/>
  </r>
  <r>
    <m/>
    <m/>
    <m/>
    <m/>
    <m/>
    <m/>
    <m/>
    <s v="Kapa"/>
    <m/>
    <m/>
    <m/>
    <m/>
    <m/>
    <x v="1"/>
    <x v="1"/>
    <x v="1"/>
    <m/>
    <n v="84"/>
    <x v="2"/>
    <n v="0.7"/>
  </r>
  <r>
    <m/>
    <m/>
    <m/>
    <m/>
    <m/>
    <m/>
    <m/>
    <s v="Kapa"/>
    <m/>
    <m/>
    <m/>
    <m/>
    <m/>
    <x v="1"/>
    <x v="1"/>
    <x v="1"/>
    <m/>
    <n v="84"/>
    <x v="3"/>
    <n v="0.7"/>
  </r>
  <r>
    <m/>
    <m/>
    <m/>
    <m/>
    <m/>
    <m/>
    <m/>
    <s v="Kapa"/>
    <m/>
    <m/>
    <m/>
    <m/>
    <m/>
    <x v="1"/>
    <x v="1"/>
    <x v="1"/>
    <m/>
    <n v="84"/>
    <x v="4"/>
    <n v="0.7"/>
  </r>
  <r>
    <m/>
    <m/>
    <m/>
    <m/>
    <m/>
    <m/>
    <m/>
    <s v="Kapa"/>
    <m/>
    <m/>
    <m/>
    <m/>
    <m/>
    <x v="1"/>
    <x v="1"/>
    <x v="1"/>
    <m/>
    <n v="84"/>
    <x v="5"/>
    <n v="0.7"/>
  </r>
  <r>
    <m/>
    <m/>
    <m/>
    <m/>
    <m/>
    <m/>
    <m/>
    <s v="Kapa"/>
    <m/>
    <m/>
    <m/>
    <m/>
    <m/>
    <x v="1"/>
    <x v="1"/>
    <x v="1"/>
    <m/>
    <n v="84"/>
    <x v="6"/>
    <n v="0.7"/>
  </r>
  <r>
    <m/>
    <m/>
    <m/>
    <m/>
    <m/>
    <m/>
    <m/>
    <s v="Kapa"/>
    <m/>
    <m/>
    <m/>
    <m/>
    <m/>
    <x v="1"/>
    <x v="1"/>
    <x v="1"/>
    <m/>
    <n v="84"/>
    <x v="7"/>
    <n v="0.7"/>
  </r>
  <r>
    <m/>
    <m/>
    <m/>
    <m/>
    <m/>
    <m/>
    <m/>
    <s v="Kapa"/>
    <m/>
    <m/>
    <m/>
    <m/>
    <m/>
    <x v="1"/>
    <x v="1"/>
    <x v="1"/>
    <m/>
    <n v="84"/>
    <x v="8"/>
    <n v="0.7"/>
  </r>
  <r>
    <m/>
    <m/>
    <m/>
    <m/>
    <m/>
    <m/>
    <m/>
    <s v="Kapa"/>
    <m/>
    <m/>
    <m/>
    <m/>
    <m/>
    <x v="1"/>
    <x v="1"/>
    <x v="1"/>
    <m/>
    <n v="84"/>
    <x v="9"/>
    <n v="0.7"/>
  </r>
  <r>
    <m/>
    <m/>
    <m/>
    <m/>
    <m/>
    <m/>
    <m/>
    <s v="Kapa"/>
    <m/>
    <m/>
    <m/>
    <m/>
    <m/>
    <x v="1"/>
    <x v="1"/>
    <x v="1"/>
    <m/>
    <n v="84"/>
    <x v="10"/>
    <n v="0.7"/>
  </r>
  <r>
    <m/>
    <m/>
    <m/>
    <m/>
    <m/>
    <m/>
    <m/>
    <s v="Kapa"/>
    <m/>
    <m/>
    <m/>
    <m/>
    <m/>
    <x v="1"/>
    <x v="1"/>
    <x v="1"/>
    <m/>
    <n v="84"/>
    <x v="11"/>
    <n v="0.7"/>
  </r>
  <r>
    <m/>
    <m/>
    <m/>
    <m/>
    <m/>
    <m/>
    <m/>
    <s v="Kapa"/>
    <m/>
    <m/>
    <m/>
    <m/>
    <m/>
    <x v="1"/>
    <x v="1"/>
    <x v="1"/>
    <m/>
    <n v="84"/>
    <x v="12"/>
    <n v="0.7"/>
  </r>
  <r>
    <m/>
    <m/>
    <m/>
    <m/>
    <m/>
    <m/>
    <m/>
    <s v="Kapa"/>
    <m/>
    <m/>
    <m/>
    <m/>
    <m/>
    <x v="1"/>
    <x v="1"/>
    <x v="1"/>
    <m/>
    <n v="84"/>
    <x v="13"/>
    <n v="0.7"/>
  </r>
  <r>
    <m/>
    <m/>
    <m/>
    <m/>
    <m/>
    <m/>
    <m/>
    <s v="Kapa"/>
    <m/>
    <m/>
    <m/>
    <m/>
    <m/>
    <x v="1"/>
    <x v="1"/>
    <x v="1"/>
    <m/>
    <n v="84"/>
    <x v="14"/>
    <n v="0.7"/>
  </r>
  <r>
    <m/>
    <m/>
    <m/>
    <m/>
    <m/>
    <m/>
    <m/>
    <s v="Kapa"/>
    <m/>
    <m/>
    <m/>
    <m/>
    <m/>
    <x v="1"/>
    <x v="1"/>
    <x v="1"/>
    <m/>
    <n v="84"/>
    <x v="15"/>
    <n v="0.7"/>
  </r>
  <r>
    <m/>
    <m/>
    <m/>
    <m/>
    <m/>
    <m/>
    <m/>
    <s v="Kapa"/>
    <m/>
    <m/>
    <m/>
    <m/>
    <m/>
    <x v="1"/>
    <x v="1"/>
    <x v="1"/>
    <m/>
    <n v="84"/>
    <x v="16"/>
    <n v="0.7"/>
  </r>
  <r>
    <m/>
    <m/>
    <m/>
    <m/>
    <m/>
    <m/>
    <m/>
    <s v="Kapa"/>
    <m/>
    <m/>
    <m/>
    <m/>
    <m/>
    <x v="1"/>
    <x v="1"/>
    <x v="1"/>
    <m/>
    <n v="84"/>
    <x v="17"/>
    <n v="0.7"/>
  </r>
  <r>
    <m/>
    <m/>
    <m/>
    <m/>
    <m/>
    <m/>
    <m/>
    <s v="Kapa"/>
    <m/>
    <m/>
    <m/>
    <m/>
    <m/>
    <x v="1"/>
    <x v="1"/>
    <x v="1"/>
    <m/>
    <n v="84"/>
    <x v="18"/>
    <n v="0.7"/>
  </r>
  <r>
    <m/>
    <m/>
    <m/>
    <m/>
    <m/>
    <m/>
    <m/>
    <s v="Kapa"/>
    <m/>
    <m/>
    <m/>
    <m/>
    <m/>
    <x v="1"/>
    <x v="1"/>
    <x v="1"/>
    <m/>
    <n v="84"/>
    <x v="19"/>
    <n v="0.7"/>
  </r>
  <r>
    <m/>
    <m/>
    <m/>
    <m/>
    <m/>
    <m/>
    <m/>
    <s v="Kapa"/>
    <m/>
    <m/>
    <m/>
    <m/>
    <m/>
    <x v="1"/>
    <x v="1"/>
    <x v="1"/>
    <m/>
    <n v="84"/>
    <x v="20"/>
    <n v="0.7"/>
  </r>
  <r>
    <m/>
    <m/>
    <m/>
    <m/>
    <m/>
    <m/>
    <m/>
    <s v="Kapa"/>
    <m/>
    <m/>
    <m/>
    <m/>
    <m/>
    <x v="2"/>
    <x v="2"/>
    <x v="0"/>
    <m/>
    <n v="84"/>
    <x v="0"/>
    <n v="0.7"/>
  </r>
  <r>
    <m/>
    <m/>
    <m/>
    <m/>
    <m/>
    <m/>
    <m/>
    <s v="Kapa"/>
    <m/>
    <m/>
    <m/>
    <m/>
    <m/>
    <x v="2"/>
    <x v="2"/>
    <x v="0"/>
    <m/>
    <n v="84"/>
    <x v="1"/>
    <n v="0.7"/>
  </r>
  <r>
    <m/>
    <m/>
    <m/>
    <m/>
    <m/>
    <m/>
    <m/>
    <s v="Kapa"/>
    <m/>
    <m/>
    <m/>
    <m/>
    <m/>
    <x v="2"/>
    <x v="2"/>
    <x v="0"/>
    <m/>
    <n v="84"/>
    <x v="2"/>
    <n v="0.7"/>
  </r>
  <r>
    <m/>
    <m/>
    <m/>
    <m/>
    <m/>
    <m/>
    <m/>
    <s v="Kapa"/>
    <m/>
    <m/>
    <m/>
    <m/>
    <m/>
    <x v="2"/>
    <x v="2"/>
    <x v="0"/>
    <m/>
    <n v="84"/>
    <x v="3"/>
    <n v="0.7"/>
  </r>
  <r>
    <m/>
    <m/>
    <m/>
    <m/>
    <m/>
    <m/>
    <m/>
    <s v="Kapa"/>
    <m/>
    <m/>
    <m/>
    <m/>
    <m/>
    <x v="2"/>
    <x v="2"/>
    <x v="0"/>
    <m/>
    <n v="84"/>
    <x v="4"/>
    <n v="0.7"/>
  </r>
  <r>
    <m/>
    <m/>
    <m/>
    <m/>
    <m/>
    <m/>
    <m/>
    <s v="Kapa"/>
    <m/>
    <m/>
    <m/>
    <m/>
    <m/>
    <x v="2"/>
    <x v="2"/>
    <x v="0"/>
    <m/>
    <n v="84"/>
    <x v="5"/>
    <n v="0.7"/>
  </r>
  <r>
    <m/>
    <m/>
    <m/>
    <m/>
    <m/>
    <m/>
    <m/>
    <s v="Kapa"/>
    <m/>
    <m/>
    <m/>
    <m/>
    <m/>
    <x v="2"/>
    <x v="2"/>
    <x v="0"/>
    <m/>
    <n v="84"/>
    <x v="6"/>
    <n v="0.7"/>
  </r>
  <r>
    <m/>
    <m/>
    <m/>
    <m/>
    <m/>
    <m/>
    <m/>
    <s v="Kapa"/>
    <m/>
    <m/>
    <m/>
    <m/>
    <m/>
    <x v="2"/>
    <x v="2"/>
    <x v="0"/>
    <m/>
    <n v="84"/>
    <x v="7"/>
    <n v="0.7"/>
  </r>
  <r>
    <m/>
    <m/>
    <m/>
    <m/>
    <m/>
    <m/>
    <m/>
    <s v="Kapa"/>
    <m/>
    <m/>
    <m/>
    <m/>
    <m/>
    <x v="2"/>
    <x v="2"/>
    <x v="0"/>
    <m/>
    <n v="84"/>
    <x v="8"/>
    <n v="0.7"/>
  </r>
  <r>
    <m/>
    <m/>
    <m/>
    <m/>
    <m/>
    <m/>
    <m/>
    <s v="Kapa"/>
    <m/>
    <m/>
    <m/>
    <m/>
    <m/>
    <x v="2"/>
    <x v="2"/>
    <x v="0"/>
    <m/>
    <n v="84"/>
    <x v="9"/>
    <n v="0.7"/>
  </r>
  <r>
    <m/>
    <m/>
    <m/>
    <m/>
    <m/>
    <m/>
    <m/>
    <s v="Kapa"/>
    <m/>
    <m/>
    <m/>
    <m/>
    <m/>
    <x v="2"/>
    <x v="2"/>
    <x v="0"/>
    <m/>
    <n v="84"/>
    <x v="10"/>
    <n v="0.7"/>
  </r>
  <r>
    <m/>
    <m/>
    <m/>
    <m/>
    <m/>
    <m/>
    <m/>
    <s v="Kapa"/>
    <m/>
    <m/>
    <m/>
    <m/>
    <m/>
    <x v="2"/>
    <x v="2"/>
    <x v="0"/>
    <m/>
    <n v="84"/>
    <x v="11"/>
    <n v="0.7"/>
  </r>
  <r>
    <m/>
    <m/>
    <m/>
    <m/>
    <m/>
    <m/>
    <m/>
    <s v="Kapa"/>
    <m/>
    <m/>
    <m/>
    <m/>
    <m/>
    <x v="2"/>
    <x v="2"/>
    <x v="0"/>
    <m/>
    <n v="84"/>
    <x v="12"/>
    <n v="0.7"/>
  </r>
  <r>
    <m/>
    <m/>
    <m/>
    <m/>
    <m/>
    <m/>
    <m/>
    <s v="Kapa"/>
    <m/>
    <m/>
    <m/>
    <m/>
    <m/>
    <x v="2"/>
    <x v="2"/>
    <x v="0"/>
    <m/>
    <n v="84"/>
    <x v="13"/>
    <n v="0.7"/>
  </r>
  <r>
    <m/>
    <m/>
    <m/>
    <m/>
    <m/>
    <m/>
    <m/>
    <s v="Kapa"/>
    <m/>
    <m/>
    <m/>
    <m/>
    <m/>
    <x v="2"/>
    <x v="2"/>
    <x v="0"/>
    <m/>
    <n v="84"/>
    <x v="14"/>
    <n v="0.7"/>
  </r>
  <r>
    <m/>
    <m/>
    <m/>
    <m/>
    <m/>
    <m/>
    <m/>
    <s v="Kapa"/>
    <m/>
    <m/>
    <m/>
    <m/>
    <m/>
    <x v="2"/>
    <x v="2"/>
    <x v="0"/>
    <m/>
    <n v="84"/>
    <x v="15"/>
    <n v="0.7"/>
  </r>
  <r>
    <m/>
    <m/>
    <m/>
    <m/>
    <m/>
    <m/>
    <m/>
    <s v="Kapa"/>
    <m/>
    <m/>
    <m/>
    <m/>
    <m/>
    <x v="2"/>
    <x v="2"/>
    <x v="0"/>
    <m/>
    <n v="84"/>
    <x v="16"/>
    <n v="0.7"/>
  </r>
  <r>
    <m/>
    <m/>
    <m/>
    <m/>
    <m/>
    <m/>
    <m/>
    <s v="Kapa"/>
    <m/>
    <m/>
    <m/>
    <m/>
    <m/>
    <x v="2"/>
    <x v="2"/>
    <x v="0"/>
    <m/>
    <n v="84"/>
    <x v="17"/>
    <n v="0.7"/>
  </r>
  <r>
    <m/>
    <m/>
    <m/>
    <m/>
    <m/>
    <m/>
    <m/>
    <s v="Kapa"/>
    <m/>
    <m/>
    <m/>
    <m/>
    <m/>
    <x v="2"/>
    <x v="2"/>
    <x v="0"/>
    <m/>
    <n v="84"/>
    <x v="18"/>
    <n v="0.7"/>
  </r>
  <r>
    <m/>
    <m/>
    <m/>
    <m/>
    <m/>
    <m/>
    <m/>
    <s v="Kapa"/>
    <m/>
    <m/>
    <m/>
    <m/>
    <m/>
    <x v="2"/>
    <x v="2"/>
    <x v="0"/>
    <m/>
    <n v="84"/>
    <x v="19"/>
    <n v="0.7"/>
  </r>
  <r>
    <m/>
    <m/>
    <m/>
    <m/>
    <m/>
    <m/>
    <m/>
    <s v="Kapa"/>
    <m/>
    <m/>
    <m/>
    <m/>
    <m/>
    <x v="2"/>
    <x v="2"/>
    <x v="0"/>
    <m/>
    <n v="84"/>
    <x v="20"/>
    <n v="0.7"/>
  </r>
  <r>
    <m/>
    <m/>
    <m/>
    <m/>
    <m/>
    <m/>
    <m/>
    <s v="Kapa"/>
    <m/>
    <m/>
    <m/>
    <m/>
    <m/>
    <x v="3"/>
    <x v="3"/>
    <x v="1"/>
    <m/>
    <n v="84"/>
    <x v="0"/>
    <n v="0.7"/>
  </r>
  <r>
    <m/>
    <m/>
    <m/>
    <m/>
    <m/>
    <m/>
    <m/>
    <s v="Kapa"/>
    <m/>
    <m/>
    <m/>
    <m/>
    <m/>
    <x v="3"/>
    <x v="3"/>
    <x v="1"/>
    <m/>
    <n v="84"/>
    <x v="1"/>
    <n v="0.7"/>
  </r>
  <r>
    <m/>
    <m/>
    <m/>
    <m/>
    <m/>
    <m/>
    <m/>
    <s v="Kapa"/>
    <m/>
    <m/>
    <m/>
    <m/>
    <m/>
    <x v="3"/>
    <x v="3"/>
    <x v="1"/>
    <m/>
    <n v="84"/>
    <x v="2"/>
    <n v="0.7"/>
  </r>
  <r>
    <m/>
    <m/>
    <m/>
    <m/>
    <m/>
    <m/>
    <m/>
    <s v="Kapa"/>
    <m/>
    <m/>
    <m/>
    <m/>
    <m/>
    <x v="3"/>
    <x v="3"/>
    <x v="1"/>
    <m/>
    <n v="84"/>
    <x v="3"/>
    <n v="0.7"/>
  </r>
  <r>
    <m/>
    <m/>
    <m/>
    <m/>
    <m/>
    <m/>
    <m/>
    <s v="Kapa"/>
    <m/>
    <m/>
    <m/>
    <m/>
    <m/>
    <x v="3"/>
    <x v="3"/>
    <x v="1"/>
    <m/>
    <n v="84"/>
    <x v="4"/>
    <n v="0.7"/>
  </r>
  <r>
    <m/>
    <m/>
    <m/>
    <m/>
    <m/>
    <m/>
    <m/>
    <s v="Kapa"/>
    <m/>
    <m/>
    <m/>
    <m/>
    <m/>
    <x v="3"/>
    <x v="3"/>
    <x v="1"/>
    <m/>
    <n v="84"/>
    <x v="5"/>
    <n v="0.7"/>
  </r>
  <r>
    <m/>
    <m/>
    <m/>
    <m/>
    <m/>
    <m/>
    <m/>
    <s v="Kapa"/>
    <m/>
    <m/>
    <m/>
    <m/>
    <m/>
    <x v="3"/>
    <x v="3"/>
    <x v="1"/>
    <m/>
    <n v="84"/>
    <x v="6"/>
    <n v="0.7"/>
  </r>
  <r>
    <m/>
    <m/>
    <m/>
    <m/>
    <m/>
    <m/>
    <m/>
    <s v="Kapa"/>
    <m/>
    <m/>
    <m/>
    <m/>
    <m/>
    <x v="3"/>
    <x v="3"/>
    <x v="1"/>
    <m/>
    <n v="84"/>
    <x v="7"/>
    <n v="0.7"/>
  </r>
  <r>
    <m/>
    <m/>
    <m/>
    <m/>
    <m/>
    <m/>
    <m/>
    <s v="Kapa"/>
    <m/>
    <m/>
    <m/>
    <m/>
    <m/>
    <x v="3"/>
    <x v="3"/>
    <x v="1"/>
    <m/>
    <n v="84"/>
    <x v="8"/>
    <n v="0.7"/>
  </r>
  <r>
    <m/>
    <m/>
    <m/>
    <m/>
    <m/>
    <m/>
    <m/>
    <s v="Kapa"/>
    <m/>
    <m/>
    <m/>
    <m/>
    <m/>
    <x v="3"/>
    <x v="3"/>
    <x v="1"/>
    <m/>
    <n v="84"/>
    <x v="9"/>
    <n v="0.7"/>
  </r>
  <r>
    <m/>
    <m/>
    <m/>
    <m/>
    <m/>
    <m/>
    <m/>
    <s v="Kapa"/>
    <m/>
    <m/>
    <m/>
    <m/>
    <m/>
    <x v="3"/>
    <x v="3"/>
    <x v="1"/>
    <m/>
    <n v="84"/>
    <x v="10"/>
    <n v="0.7"/>
  </r>
  <r>
    <m/>
    <m/>
    <m/>
    <m/>
    <m/>
    <m/>
    <m/>
    <s v="Kapa"/>
    <m/>
    <m/>
    <m/>
    <m/>
    <m/>
    <x v="3"/>
    <x v="3"/>
    <x v="1"/>
    <m/>
    <n v="84"/>
    <x v="11"/>
    <n v="0.7"/>
  </r>
  <r>
    <m/>
    <m/>
    <m/>
    <m/>
    <m/>
    <m/>
    <m/>
    <s v="Kapa"/>
    <m/>
    <m/>
    <m/>
    <m/>
    <m/>
    <x v="3"/>
    <x v="3"/>
    <x v="1"/>
    <m/>
    <n v="84"/>
    <x v="12"/>
    <n v="0.7"/>
  </r>
  <r>
    <m/>
    <m/>
    <m/>
    <m/>
    <m/>
    <m/>
    <m/>
    <s v="Kapa"/>
    <m/>
    <m/>
    <m/>
    <m/>
    <m/>
    <x v="3"/>
    <x v="3"/>
    <x v="1"/>
    <m/>
    <n v="84"/>
    <x v="13"/>
    <n v="0.7"/>
  </r>
  <r>
    <m/>
    <m/>
    <m/>
    <m/>
    <m/>
    <m/>
    <m/>
    <s v="Kapa"/>
    <m/>
    <m/>
    <m/>
    <m/>
    <m/>
    <x v="3"/>
    <x v="3"/>
    <x v="1"/>
    <m/>
    <n v="84"/>
    <x v="14"/>
    <n v="0.7"/>
  </r>
  <r>
    <m/>
    <m/>
    <m/>
    <m/>
    <m/>
    <m/>
    <m/>
    <s v="Kapa"/>
    <m/>
    <m/>
    <m/>
    <m/>
    <m/>
    <x v="3"/>
    <x v="3"/>
    <x v="1"/>
    <m/>
    <n v="84"/>
    <x v="15"/>
    <n v="0.7"/>
  </r>
  <r>
    <m/>
    <m/>
    <m/>
    <m/>
    <m/>
    <m/>
    <m/>
    <s v="Kapa"/>
    <m/>
    <m/>
    <m/>
    <m/>
    <m/>
    <x v="3"/>
    <x v="3"/>
    <x v="1"/>
    <m/>
    <n v="84"/>
    <x v="16"/>
    <n v="0.7"/>
  </r>
  <r>
    <m/>
    <m/>
    <m/>
    <m/>
    <m/>
    <m/>
    <m/>
    <s v="Kapa"/>
    <m/>
    <m/>
    <m/>
    <m/>
    <m/>
    <x v="3"/>
    <x v="3"/>
    <x v="1"/>
    <m/>
    <n v="84"/>
    <x v="17"/>
    <n v="0.7"/>
  </r>
  <r>
    <m/>
    <m/>
    <m/>
    <m/>
    <m/>
    <m/>
    <m/>
    <s v="Kapa"/>
    <m/>
    <m/>
    <m/>
    <m/>
    <m/>
    <x v="3"/>
    <x v="3"/>
    <x v="1"/>
    <m/>
    <n v="84"/>
    <x v="18"/>
    <n v="0.7"/>
  </r>
  <r>
    <m/>
    <m/>
    <m/>
    <m/>
    <m/>
    <m/>
    <m/>
    <s v="Kapa"/>
    <m/>
    <m/>
    <m/>
    <m/>
    <m/>
    <x v="3"/>
    <x v="3"/>
    <x v="1"/>
    <m/>
    <n v="84"/>
    <x v="19"/>
    <n v="0.7"/>
  </r>
  <r>
    <m/>
    <m/>
    <m/>
    <m/>
    <m/>
    <m/>
    <m/>
    <s v="Kapa"/>
    <m/>
    <m/>
    <m/>
    <m/>
    <m/>
    <x v="3"/>
    <x v="3"/>
    <x v="1"/>
    <m/>
    <n v="84"/>
    <x v="20"/>
    <n v="0.7"/>
  </r>
  <r>
    <m/>
    <m/>
    <m/>
    <m/>
    <m/>
    <m/>
    <m/>
    <s v="Kapa"/>
    <m/>
    <m/>
    <m/>
    <m/>
    <m/>
    <x v="4"/>
    <x v="4"/>
    <x v="0"/>
    <m/>
    <n v="84"/>
    <x v="0"/>
    <n v="0.7"/>
  </r>
  <r>
    <m/>
    <m/>
    <m/>
    <m/>
    <m/>
    <m/>
    <m/>
    <s v="Kapa"/>
    <m/>
    <m/>
    <m/>
    <m/>
    <m/>
    <x v="4"/>
    <x v="4"/>
    <x v="0"/>
    <m/>
    <n v="84"/>
    <x v="1"/>
    <n v="0.7"/>
  </r>
  <r>
    <m/>
    <m/>
    <m/>
    <m/>
    <m/>
    <m/>
    <m/>
    <s v="Kapa"/>
    <m/>
    <m/>
    <m/>
    <m/>
    <m/>
    <x v="4"/>
    <x v="4"/>
    <x v="0"/>
    <m/>
    <n v="84"/>
    <x v="2"/>
    <n v="0.7"/>
  </r>
  <r>
    <m/>
    <m/>
    <m/>
    <m/>
    <m/>
    <m/>
    <m/>
    <s v="Kapa"/>
    <m/>
    <m/>
    <m/>
    <m/>
    <m/>
    <x v="4"/>
    <x v="4"/>
    <x v="0"/>
    <m/>
    <n v="84"/>
    <x v="3"/>
    <n v="0.7"/>
  </r>
  <r>
    <m/>
    <m/>
    <m/>
    <m/>
    <m/>
    <m/>
    <m/>
    <s v="Kapa"/>
    <m/>
    <m/>
    <m/>
    <m/>
    <m/>
    <x v="4"/>
    <x v="4"/>
    <x v="0"/>
    <m/>
    <n v="84"/>
    <x v="4"/>
    <n v="0.7"/>
  </r>
  <r>
    <m/>
    <m/>
    <m/>
    <m/>
    <m/>
    <m/>
    <m/>
    <s v="Kapa"/>
    <m/>
    <m/>
    <m/>
    <m/>
    <m/>
    <x v="4"/>
    <x v="4"/>
    <x v="0"/>
    <m/>
    <n v="84"/>
    <x v="5"/>
    <n v="0.7"/>
  </r>
  <r>
    <m/>
    <m/>
    <m/>
    <m/>
    <m/>
    <m/>
    <m/>
    <s v="Kapa"/>
    <m/>
    <m/>
    <m/>
    <m/>
    <m/>
    <x v="4"/>
    <x v="4"/>
    <x v="0"/>
    <m/>
    <n v="84"/>
    <x v="6"/>
    <n v="0.7"/>
  </r>
  <r>
    <m/>
    <m/>
    <m/>
    <m/>
    <m/>
    <m/>
    <m/>
    <s v="Kapa"/>
    <m/>
    <m/>
    <m/>
    <m/>
    <m/>
    <x v="4"/>
    <x v="4"/>
    <x v="0"/>
    <m/>
    <n v="84"/>
    <x v="7"/>
    <n v="0.7"/>
  </r>
  <r>
    <m/>
    <m/>
    <m/>
    <m/>
    <m/>
    <m/>
    <m/>
    <s v="Kapa"/>
    <m/>
    <m/>
    <m/>
    <m/>
    <m/>
    <x v="4"/>
    <x v="4"/>
    <x v="0"/>
    <m/>
    <n v="84"/>
    <x v="8"/>
    <n v="0.7"/>
  </r>
  <r>
    <m/>
    <m/>
    <m/>
    <m/>
    <m/>
    <m/>
    <m/>
    <s v="Kapa"/>
    <m/>
    <m/>
    <m/>
    <m/>
    <m/>
    <x v="4"/>
    <x v="4"/>
    <x v="0"/>
    <m/>
    <n v="84"/>
    <x v="9"/>
    <n v="0.7"/>
  </r>
  <r>
    <m/>
    <m/>
    <m/>
    <m/>
    <m/>
    <m/>
    <m/>
    <s v="Kapa"/>
    <m/>
    <m/>
    <m/>
    <m/>
    <m/>
    <x v="4"/>
    <x v="4"/>
    <x v="0"/>
    <m/>
    <n v="84"/>
    <x v="10"/>
    <n v="0.7"/>
  </r>
  <r>
    <m/>
    <m/>
    <m/>
    <m/>
    <m/>
    <m/>
    <m/>
    <s v="Kapa"/>
    <m/>
    <m/>
    <m/>
    <m/>
    <m/>
    <x v="4"/>
    <x v="4"/>
    <x v="0"/>
    <m/>
    <n v="84"/>
    <x v="11"/>
    <n v="0.7"/>
  </r>
  <r>
    <m/>
    <m/>
    <m/>
    <m/>
    <m/>
    <m/>
    <m/>
    <s v="Kapa"/>
    <m/>
    <m/>
    <m/>
    <m/>
    <m/>
    <x v="4"/>
    <x v="4"/>
    <x v="0"/>
    <m/>
    <n v="84"/>
    <x v="12"/>
    <n v="0.7"/>
  </r>
  <r>
    <m/>
    <m/>
    <m/>
    <m/>
    <m/>
    <m/>
    <m/>
    <s v="Kapa"/>
    <m/>
    <m/>
    <m/>
    <m/>
    <m/>
    <x v="4"/>
    <x v="4"/>
    <x v="0"/>
    <m/>
    <n v="84"/>
    <x v="13"/>
    <n v="0.7"/>
  </r>
  <r>
    <m/>
    <m/>
    <m/>
    <m/>
    <m/>
    <m/>
    <m/>
    <s v="Kapa"/>
    <m/>
    <m/>
    <m/>
    <m/>
    <m/>
    <x v="4"/>
    <x v="4"/>
    <x v="0"/>
    <m/>
    <n v="84"/>
    <x v="14"/>
    <n v="0.7"/>
  </r>
  <r>
    <m/>
    <m/>
    <m/>
    <m/>
    <m/>
    <m/>
    <m/>
    <s v="Kapa"/>
    <m/>
    <m/>
    <m/>
    <m/>
    <m/>
    <x v="4"/>
    <x v="4"/>
    <x v="0"/>
    <m/>
    <n v="84"/>
    <x v="15"/>
    <n v="0.7"/>
  </r>
  <r>
    <m/>
    <m/>
    <m/>
    <m/>
    <m/>
    <m/>
    <m/>
    <s v="Kapa"/>
    <m/>
    <m/>
    <m/>
    <m/>
    <m/>
    <x v="4"/>
    <x v="4"/>
    <x v="0"/>
    <m/>
    <n v="84"/>
    <x v="16"/>
    <n v="0.7"/>
  </r>
  <r>
    <m/>
    <m/>
    <m/>
    <m/>
    <m/>
    <m/>
    <m/>
    <s v="Kapa"/>
    <m/>
    <m/>
    <m/>
    <m/>
    <m/>
    <x v="4"/>
    <x v="4"/>
    <x v="0"/>
    <m/>
    <n v="84"/>
    <x v="17"/>
    <n v="0.7"/>
  </r>
  <r>
    <m/>
    <m/>
    <m/>
    <m/>
    <m/>
    <m/>
    <m/>
    <s v="Kapa"/>
    <m/>
    <m/>
    <m/>
    <m/>
    <m/>
    <x v="4"/>
    <x v="4"/>
    <x v="0"/>
    <m/>
    <n v="84"/>
    <x v="18"/>
    <n v="0.7"/>
  </r>
  <r>
    <m/>
    <m/>
    <m/>
    <m/>
    <m/>
    <m/>
    <m/>
    <s v="Kapa"/>
    <m/>
    <m/>
    <m/>
    <m/>
    <m/>
    <x v="4"/>
    <x v="4"/>
    <x v="0"/>
    <m/>
    <n v="84"/>
    <x v="19"/>
    <n v="0.7"/>
  </r>
  <r>
    <m/>
    <m/>
    <m/>
    <m/>
    <m/>
    <m/>
    <m/>
    <s v="Kapa"/>
    <m/>
    <m/>
    <m/>
    <m/>
    <m/>
    <x v="4"/>
    <x v="4"/>
    <x v="0"/>
    <m/>
    <n v="84"/>
    <x v="20"/>
    <n v="0.7"/>
  </r>
  <r>
    <m/>
    <m/>
    <m/>
    <m/>
    <m/>
    <m/>
    <m/>
    <m/>
    <m/>
    <m/>
    <m/>
    <m/>
    <m/>
    <x v="5"/>
    <x v="5"/>
    <x v="2"/>
    <m/>
    <m/>
    <x v="2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F7648-0470-4F1C-BC7A-2391106F9596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gridDropZones="1" multipleFieldFilters="0">
  <location ref="A5:E12" firstHeaderRow="1" firstDataRow="2" firstDataCol="3" rowPageCount="1" colPageCount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0"/>
        <item x="2"/>
        <item x="1"/>
        <item x="4"/>
        <item x="3"/>
        <item h="1" x="5"/>
      </items>
    </pivotField>
    <pivotField axis="axisRow" compact="0" outline="0" showAll="0" defaultSubtotal="0">
      <items count="6">
        <item x="3"/>
        <item x="2"/>
        <item x="0"/>
        <item x="4"/>
        <item x="1"/>
        <item x="5"/>
      </items>
    </pivotField>
    <pivotField axis="axisRow" compact="0" outline="0" showAll="0">
      <items count="5">
        <item m="1" x="3"/>
        <item x="0"/>
        <item x="1"/>
        <item x="2"/>
        <item t="default"/>
      </items>
    </pivotField>
    <pivotField dataField="1" compact="0" outline="0" showAll="0"/>
    <pivotField dataField="1" compact="0" outline="0" showAll="0"/>
    <pivotField axis="axisPage" compact="0" outline="0" multipleItemSelectionAllowed="1" showAll="0">
      <items count="23">
        <item x="0"/>
        <item x="1"/>
        <item x="2"/>
        <item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t="default"/>
      </items>
    </pivotField>
    <pivotField compact="0" outline="0" showAll="0"/>
  </pivotFields>
  <rowFields count="3">
    <field x="13"/>
    <field x="14"/>
    <field x="15"/>
  </rowFields>
  <rowItems count="6">
    <i>
      <x/>
      <x v="2"/>
      <x v="1"/>
    </i>
    <i>
      <x v="1"/>
      <x v="1"/>
      <x v="1"/>
    </i>
    <i>
      <x v="2"/>
      <x v="4"/>
      <x v="2"/>
    </i>
    <i>
      <x v="3"/>
      <x v="3"/>
      <x v="1"/>
    </i>
    <i>
      <x v="4"/>
      <x/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Summe von Kapa" fld="17" baseField="0" baseItem="0"/>
    <dataField name="Summe von Prod_Zeit" fld="16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7AE56-1C45-472B-AC77-8CE7313CBD63}">
  <dimension ref="A3:E12"/>
  <sheetViews>
    <sheetView workbookViewId="0">
      <selection activeCell="F22" sqref="F22"/>
    </sheetView>
  </sheetViews>
  <sheetFormatPr baseColWidth="10" defaultRowHeight="15" x14ac:dyDescent="0.2"/>
  <cols>
    <col min="1" max="1" width="29" bestFit="1" customWidth="1"/>
    <col min="2" max="2" width="25" bestFit="1" customWidth="1"/>
    <col min="3" max="3" width="18.83203125" bestFit="1" customWidth="1"/>
    <col min="4" max="4" width="15.6640625" bestFit="1" customWidth="1"/>
    <col min="5" max="5" width="20" bestFit="1" customWidth="1"/>
    <col min="6" max="6" width="15.6640625" bestFit="1" customWidth="1"/>
    <col min="7" max="7" width="20" bestFit="1" customWidth="1"/>
    <col min="8" max="8" width="15.6640625" bestFit="1" customWidth="1"/>
    <col min="9" max="9" width="20" bestFit="1" customWidth="1"/>
    <col min="10" max="10" width="15.6640625" bestFit="1" customWidth="1"/>
    <col min="11" max="11" width="20" bestFit="1" customWidth="1"/>
    <col min="12" max="12" width="23.33203125" bestFit="1" customWidth="1"/>
    <col min="13" max="13" width="27.6640625" bestFit="1" customWidth="1"/>
    <col min="14" max="22" width="5.1640625" bestFit="1" customWidth="1"/>
    <col min="23" max="23" width="14.5" bestFit="1" customWidth="1"/>
  </cols>
  <sheetData>
    <row r="3" spans="1:5" x14ac:dyDescent="0.2">
      <c r="A3" s="5" t="s">
        <v>27</v>
      </c>
      <c r="B3" t="s">
        <v>34</v>
      </c>
    </row>
    <row r="5" spans="1:5" x14ac:dyDescent="0.2">
      <c r="D5" s="5" t="s">
        <v>48</v>
      </c>
    </row>
    <row r="6" spans="1:5" x14ac:dyDescent="0.2">
      <c r="A6" s="5" t="s">
        <v>8</v>
      </c>
      <c r="B6" s="5" t="s">
        <v>46</v>
      </c>
      <c r="C6" s="5" t="s">
        <v>47</v>
      </c>
      <c r="D6" t="s">
        <v>33</v>
      </c>
      <c r="E6" t="s">
        <v>32</v>
      </c>
    </row>
    <row r="7" spans="1:5" x14ac:dyDescent="0.2">
      <c r="A7" t="s">
        <v>15</v>
      </c>
      <c r="B7" t="s">
        <v>43</v>
      </c>
      <c r="C7" t="s">
        <v>42</v>
      </c>
      <c r="D7" s="6">
        <v>420</v>
      </c>
      <c r="E7" s="6">
        <v>500</v>
      </c>
    </row>
    <row r="8" spans="1:5" x14ac:dyDescent="0.2">
      <c r="A8" t="s">
        <v>24</v>
      </c>
      <c r="B8" t="s">
        <v>44</v>
      </c>
      <c r="C8" t="s">
        <v>42</v>
      </c>
      <c r="D8" s="6">
        <v>420</v>
      </c>
      <c r="E8" s="6">
        <v>1500</v>
      </c>
    </row>
    <row r="9" spans="1:5" x14ac:dyDescent="0.2">
      <c r="A9" t="s">
        <v>23</v>
      </c>
      <c r="B9" t="s">
        <v>39</v>
      </c>
      <c r="C9" t="s">
        <v>40</v>
      </c>
      <c r="D9" s="6">
        <v>420</v>
      </c>
      <c r="E9" s="6">
        <v>400</v>
      </c>
    </row>
    <row r="10" spans="1:5" x14ac:dyDescent="0.2">
      <c r="A10" t="s">
        <v>26</v>
      </c>
      <c r="B10" t="s">
        <v>41</v>
      </c>
      <c r="C10" t="s">
        <v>42</v>
      </c>
      <c r="D10" s="6">
        <v>420</v>
      </c>
      <c r="E10" s="6">
        <v>58.333333333333329</v>
      </c>
    </row>
    <row r="11" spans="1:5" x14ac:dyDescent="0.2">
      <c r="A11" t="s">
        <v>25</v>
      </c>
      <c r="B11" t="s">
        <v>45</v>
      </c>
      <c r="C11" t="s">
        <v>40</v>
      </c>
      <c r="D11" s="6">
        <v>420</v>
      </c>
      <c r="E11" s="6">
        <v>125</v>
      </c>
    </row>
    <row r="12" spans="1:5" x14ac:dyDescent="0.2">
      <c r="A12" t="s">
        <v>31</v>
      </c>
      <c r="D12" s="6">
        <v>2100</v>
      </c>
      <c r="E12" s="6">
        <v>2583.3333333333335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072F-BF83-4710-9B62-81D8A296EF53}">
  <dimension ref="A1:T233"/>
  <sheetViews>
    <sheetView tabSelected="1" workbookViewId="0">
      <pane ySplit="1" topLeftCell="A2" activePane="bottomLeft" state="frozen"/>
      <selection activeCell="H1" sqref="H1"/>
      <selection pane="bottomLeft" activeCell="J72" sqref="J72"/>
    </sheetView>
  </sheetViews>
  <sheetFormatPr baseColWidth="10" defaultColWidth="9.1640625" defaultRowHeight="15" x14ac:dyDescent="0.2"/>
  <cols>
    <col min="1" max="1" width="9.6640625" bestFit="1" customWidth="1"/>
    <col min="2" max="2" width="7.1640625" bestFit="1" customWidth="1"/>
    <col min="3" max="3" width="18.33203125" bestFit="1" customWidth="1"/>
    <col min="4" max="4" width="12.5" bestFit="1" customWidth="1"/>
    <col min="5" max="5" width="15.5" bestFit="1" customWidth="1"/>
    <col min="6" max="6" width="10.1640625" bestFit="1" customWidth="1"/>
    <col min="7" max="7" width="9.83203125" bestFit="1" customWidth="1"/>
    <col min="8" max="8" width="18.1640625" customWidth="1"/>
    <col min="9" max="9" width="19.83203125" bestFit="1" customWidth="1"/>
    <col min="10" max="10" width="11.1640625" bestFit="1" customWidth="1"/>
    <col min="11" max="11" width="13.33203125" customWidth="1"/>
    <col min="12" max="12" width="12.83203125" bestFit="1" customWidth="1"/>
    <col min="14" max="14" width="11.6640625" bestFit="1" customWidth="1"/>
    <col min="15" max="15" width="25.33203125" customWidth="1"/>
    <col min="16" max="16" width="21.6640625" customWidth="1"/>
  </cols>
  <sheetData>
    <row r="1" spans="1:20" x14ac:dyDescent="0.2">
      <c r="A1" s="7" t="s">
        <v>0</v>
      </c>
      <c r="B1" s="7" t="s">
        <v>1</v>
      </c>
      <c r="C1" s="7" t="s">
        <v>2</v>
      </c>
      <c r="D1" s="7" t="s">
        <v>5</v>
      </c>
      <c r="E1" s="7" t="s">
        <v>4</v>
      </c>
      <c r="F1" s="7" t="s">
        <v>11</v>
      </c>
      <c r="G1" s="7" t="s">
        <v>3</v>
      </c>
      <c r="H1" s="7" t="s">
        <v>12</v>
      </c>
      <c r="I1" s="7" t="s">
        <v>13</v>
      </c>
      <c r="J1" s="7" t="s">
        <v>29</v>
      </c>
      <c r="K1" s="7" t="s">
        <v>30</v>
      </c>
      <c r="L1" s="7" t="s">
        <v>6</v>
      </c>
      <c r="M1" s="7" t="s">
        <v>7</v>
      </c>
      <c r="N1" s="7" t="s">
        <v>8</v>
      </c>
      <c r="O1" s="7" t="s">
        <v>46</v>
      </c>
      <c r="P1" s="7" t="s">
        <v>47</v>
      </c>
      <c r="Q1" s="7" t="s">
        <v>16</v>
      </c>
      <c r="R1" s="7" t="s">
        <v>17</v>
      </c>
      <c r="S1" s="7" t="s">
        <v>27</v>
      </c>
      <c r="T1" s="7" t="s">
        <v>28</v>
      </c>
    </row>
    <row r="2" spans="1:20" ht="16" x14ac:dyDescent="0.2">
      <c r="A2">
        <v>2023001</v>
      </c>
      <c r="B2">
        <v>23455</v>
      </c>
      <c r="C2" t="s">
        <v>10</v>
      </c>
      <c r="D2">
        <v>23453</v>
      </c>
      <c r="E2" t="s">
        <v>9</v>
      </c>
      <c r="F2" s="1">
        <f>+G2-L2</f>
        <v>45072</v>
      </c>
      <c r="G2" s="1">
        <v>45086</v>
      </c>
      <c r="H2" t="s">
        <v>14</v>
      </c>
      <c r="I2">
        <v>10</v>
      </c>
      <c r="J2">
        <v>6000</v>
      </c>
      <c r="K2">
        <v>6000</v>
      </c>
      <c r="L2">
        <v>14</v>
      </c>
      <c r="M2">
        <v>60</v>
      </c>
      <c r="N2" s="2" t="s">
        <v>15</v>
      </c>
      <c r="O2" s="9" t="s">
        <v>43</v>
      </c>
      <c r="P2" s="9" t="s">
        <v>42</v>
      </c>
      <c r="Q2" s="3">
        <f>+M2*J2/3600</f>
        <v>100</v>
      </c>
      <c r="S2">
        <f>WEEKNUM(F2)</f>
        <v>21</v>
      </c>
      <c r="T2" s="4"/>
    </row>
    <row r="3" spans="1:20" ht="16" x14ac:dyDescent="0.2">
      <c r="A3">
        <v>2023002</v>
      </c>
      <c r="B3">
        <v>23455</v>
      </c>
      <c r="C3" t="s">
        <v>10</v>
      </c>
      <c r="D3">
        <v>23453</v>
      </c>
      <c r="E3" t="s">
        <v>9</v>
      </c>
      <c r="F3" s="1">
        <f t="shared" ref="F3:F22" si="0">+G3-L3</f>
        <v>45079</v>
      </c>
      <c r="G3" s="1">
        <f>+G2+7</f>
        <v>45093</v>
      </c>
      <c r="H3" t="s">
        <v>14</v>
      </c>
      <c r="I3">
        <v>10</v>
      </c>
      <c r="J3">
        <v>6000</v>
      </c>
      <c r="K3">
        <v>6000</v>
      </c>
      <c r="L3">
        <v>14</v>
      </c>
      <c r="M3">
        <v>60</v>
      </c>
      <c r="N3" s="2" t="s">
        <v>15</v>
      </c>
      <c r="O3" s="9" t="s">
        <v>43</v>
      </c>
      <c r="P3" s="9" t="s">
        <v>42</v>
      </c>
      <c r="Q3" s="3">
        <f t="shared" ref="Q3:Q107" si="1">+M3*J3/3600</f>
        <v>100</v>
      </c>
      <c r="S3">
        <f t="shared" ref="S3:S66" si="2">WEEKNUM(F3)</f>
        <v>22</v>
      </c>
      <c r="T3" s="4"/>
    </row>
    <row r="4" spans="1:20" ht="16" x14ac:dyDescent="0.2">
      <c r="A4">
        <v>2023003</v>
      </c>
      <c r="B4">
        <v>23455</v>
      </c>
      <c r="C4" t="s">
        <v>10</v>
      </c>
      <c r="D4">
        <v>23453</v>
      </c>
      <c r="E4" t="s">
        <v>9</v>
      </c>
      <c r="F4" s="1">
        <f t="shared" si="0"/>
        <v>45086</v>
      </c>
      <c r="G4" s="1">
        <f t="shared" ref="G4:G22" si="3">+G3+7</f>
        <v>45100</v>
      </c>
      <c r="H4" t="s">
        <v>14</v>
      </c>
      <c r="I4">
        <v>10</v>
      </c>
      <c r="J4">
        <v>6000</v>
      </c>
      <c r="K4">
        <v>6000</v>
      </c>
      <c r="L4">
        <v>14</v>
      </c>
      <c r="M4">
        <v>60</v>
      </c>
      <c r="N4" s="2" t="s">
        <v>15</v>
      </c>
      <c r="O4" s="9" t="s">
        <v>43</v>
      </c>
      <c r="P4" s="9" t="s">
        <v>42</v>
      </c>
      <c r="Q4" s="3">
        <f t="shared" si="1"/>
        <v>100</v>
      </c>
      <c r="S4">
        <f t="shared" si="2"/>
        <v>23</v>
      </c>
      <c r="T4" s="4"/>
    </row>
    <row r="5" spans="1:20" ht="16" x14ac:dyDescent="0.2">
      <c r="A5">
        <v>2023004</v>
      </c>
      <c r="B5">
        <v>23455</v>
      </c>
      <c r="C5" t="s">
        <v>10</v>
      </c>
      <c r="D5">
        <v>23453</v>
      </c>
      <c r="E5" t="s">
        <v>9</v>
      </c>
      <c r="F5" s="1">
        <f t="shared" si="0"/>
        <v>45093</v>
      </c>
      <c r="G5" s="1">
        <f t="shared" si="3"/>
        <v>45107</v>
      </c>
      <c r="H5" t="s">
        <v>14</v>
      </c>
      <c r="I5">
        <v>10</v>
      </c>
      <c r="J5">
        <v>6000</v>
      </c>
      <c r="K5">
        <v>6000</v>
      </c>
      <c r="L5">
        <v>14</v>
      </c>
      <c r="M5">
        <v>60</v>
      </c>
      <c r="N5" s="2" t="s">
        <v>15</v>
      </c>
      <c r="O5" s="9" t="s">
        <v>43</v>
      </c>
      <c r="P5" s="9" t="s">
        <v>42</v>
      </c>
      <c r="Q5" s="3">
        <f t="shared" si="1"/>
        <v>100</v>
      </c>
      <c r="S5">
        <f t="shared" si="2"/>
        <v>24</v>
      </c>
      <c r="T5" s="4"/>
    </row>
    <row r="6" spans="1:20" ht="16" x14ac:dyDescent="0.2">
      <c r="A6">
        <v>2023005</v>
      </c>
      <c r="B6">
        <v>23455</v>
      </c>
      <c r="C6" t="s">
        <v>10</v>
      </c>
      <c r="D6">
        <v>23453</v>
      </c>
      <c r="E6" t="s">
        <v>9</v>
      </c>
      <c r="F6" s="1">
        <f t="shared" si="0"/>
        <v>45100</v>
      </c>
      <c r="G6" s="1">
        <f t="shared" si="3"/>
        <v>45114</v>
      </c>
      <c r="H6" t="s">
        <v>14</v>
      </c>
      <c r="I6">
        <v>10</v>
      </c>
      <c r="J6">
        <v>6000</v>
      </c>
      <c r="K6">
        <v>6000</v>
      </c>
      <c r="L6">
        <v>14</v>
      </c>
      <c r="M6">
        <v>60</v>
      </c>
      <c r="N6" s="2" t="s">
        <v>15</v>
      </c>
      <c r="O6" s="9" t="s">
        <v>43</v>
      </c>
      <c r="P6" s="9" t="s">
        <v>42</v>
      </c>
      <c r="Q6" s="3">
        <f t="shared" si="1"/>
        <v>100</v>
      </c>
      <c r="S6">
        <f t="shared" si="2"/>
        <v>25</v>
      </c>
      <c r="T6" s="4"/>
    </row>
    <row r="7" spans="1:20" ht="16" x14ac:dyDescent="0.2">
      <c r="A7">
        <v>2023006</v>
      </c>
      <c r="B7">
        <v>23455</v>
      </c>
      <c r="C7" t="s">
        <v>10</v>
      </c>
      <c r="D7">
        <v>23453</v>
      </c>
      <c r="E7" t="s">
        <v>9</v>
      </c>
      <c r="F7" s="1">
        <f t="shared" si="0"/>
        <v>45107</v>
      </c>
      <c r="G7" s="1">
        <f t="shared" si="3"/>
        <v>45121</v>
      </c>
      <c r="H7" t="s">
        <v>14</v>
      </c>
      <c r="I7">
        <v>10</v>
      </c>
      <c r="J7">
        <v>6000</v>
      </c>
      <c r="K7">
        <v>6000</v>
      </c>
      <c r="L7">
        <v>14</v>
      </c>
      <c r="M7">
        <v>60</v>
      </c>
      <c r="N7" s="2" t="s">
        <v>15</v>
      </c>
      <c r="O7" s="9" t="s">
        <v>43</v>
      </c>
      <c r="P7" s="9" t="s">
        <v>42</v>
      </c>
      <c r="Q7" s="3">
        <f t="shared" si="1"/>
        <v>100</v>
      </c>
      <c r="S7">
        <f t="shared" si="2"/>
        <v>26</v>
      </c>
      <c r="T7" s="4"/>
    </row>
    <row r="8" spans="1:20" ht="16" x14ac:dyDescent="0.2">
      <c r="A8">
        <v>2023007</v>
      </c>
      <c r="B8">
        <v>23455</v>
      </c>
      <c r="C8" t="s">
        <v>10</v>
      </c>
      <c r="D8">
        <v>23453</v>
      </c>
      <c r="E8" t="s">
        <v>9</v>
      </c>
      <c r="F8" s="1">
        <f t="shared" si="0"/>
        <v>45114</v>
      </c>
      <c r="G8" s="1">
        <f t="shared" si="3"/>
        <v>45128</v>
      </c>
      <c r="H8" t="s">
        <v>14</v>
      </c>
      <c r="I8">
        <v>10</v>
      </c>
      <c r="J8">
        <v>6000</v>
      </c>
      <c r="K8">
        <v>6000</v>
      </c>
      <c r="L8">
        <v>14</v>
      </c>
      <c r="M8">
        <v>60</v>
      </c>
      <c r="N8" s="2" t="s">
        <v>15</v>
      </c>
      <c r="O8" s="9" t="s">
        <v>43</v>
      </c>
      <c r="P8" s="9" t="s">
        <v>42</v>
      </c>
      <c r="Q8" s="3">
        <f t="shared" si="1"/>
        <v>100</v>
      </c>
      <c r="S8">
        <f t="shared" si="2"/>
        <v>27</v>
      </c>
      <c r="T8" s="4"/>
    </row>
    <row r="9" spans="1:20" ht="16" x14ac:dyDescent="0.2">
      <c r="A9">
        <v>2023008</v>
      </c>
      <c r="B9">
        <v>23455</v>
      </c>
      <c r="C9" t="s">
        <v>10</v>
      </c>
      <c r="D9">
        <v>23453</v>
      </c>
      <c r="E9" t="s">
        <v>9</v>
      </c>
      <c r="F9" s="1">
        <f t="shared" si="0"/>
        <v>45121</v>
      </c>
      <c r="G9" s="1">
        <f t="shared" si="3"/>
        <v>45135</v>
      </c>
      <c r="H9" t="s">
        <v>14</v>
      </c>
      <c r="I9">
        <v>10</v>
      </c>
      <c r="J9">
        <v>6000</v>
      </c>
      <c r="K9">
        <v>6000</v>
      </c>
      <c r="L9">
        <v>14</v>
      </c>
      <c r="M9">
        <v>60</v>
      </c>
      <c r="N9" s="2" t="s">
        <v>15</v>
      </c>
      <c r="O9" s="9" t="s">
        <v>43</v>
      </c>
      <c r="P9" s="9" t="s">
        <v>42</v>
      </c>
      <c r="Q9" s="3">
        <f t="shared" si="1"/>
        <v>100</v>
      </c>
      <c r="S9">
        <f t="shared" si="2"/>
        <v>28</v>
      </c>
      <c r="T9" s="4"/>
    </row>
    <row r="10" spans="1:20" ht="16" x14ac:dyDescent="0.2">
      <c r="A10">
        <v>2023009</v>
      </c>
      <c r="B10">
        <v>23455</v>
      </c>
      <c r="C10" t="s">
        <v>10</v>
      </c>
      <c r="D10">
        <v>23453</v>
      </c>
      <c r="E10" t="s">
        <v>9</v>
      </c>
      <c r="F10" s="1">
        <f t="shared" si="0"/>
        <v>45128</v>
      </c>
      <c r="G10" s="1">
        <f t="shared" si="3"/>
        <v>45142</v>
      </c>
      <c r="H10" t="s">
        <v>14</v>
      </c>
      <c r="I10">
        <v>10</v>
      </c>
      <c r="J10">
        <v>6000</v>
      </c>
      <c r="K10">
        <v>6000</v>
      </c>
      <c r="L10">
        <v>14</v>
      </c>
      <c r="M10">
        <v>60</v>
      </c>
      <c r="N10" s="2" t="s">
        <v>15</v>
      </c>
      <c r="O10" s="9" t="s">
        <v>43</v>
      </c>
      <c r="P10" s="9" t="s">
        <v>42</v>
      </c>
      <c r="Q10" s="3">
        <f t="shared" si="1"/>
        <v>100</v>
      </c>
      <c r="S10">
        <f t="shared" si="2"/>
        <v>29</v>
      </c>
      <c r="T10" s="4"/>
    </row>
    <row r="11" spans="1:20" ht="16" x14ac:dyDescent="0.2">
      <c r="A11">
        <v>2023010</v>
      </c>
      <c r="B11">
        <v>23455</v>
      </c>
      <c r="C11" t="s">
        <v>10</v>
      </c>
      <c r="D11">
        <v>23453</v>
      </c>
      <c r="E11" t="s">
        <v>9</v>
      </c>
      <c r="F11" s="1">
        <f t="shared" si="0"/>
        <v>45135</v>
      </c>
      <c r="G11" s="1">
        <f t="shared" si="3"/>
        <v>45149</v>
      </c>
      <c r="H11" t="s">
        <v>14</v>
      </c>
      <c r="I11">
        <v>10</v>
      </c>
      <c r="J11">
        <v>6000</v>
      </c>
      <c r="K11">
        <v>6000</v>
      </c>
      <c r="L11">
        <v>14</v>
      </c>
      <c r="M11">
        <v>60</v>
      </c>
      <c r="N11" s="2" t="s">
        <v>15</v>
      </c>
      <c r="O11" s="9" t="s">
        <v>43</v>
      </c>
      <c r="P11" s="9" t="s">
        <v>42</v>
      </c>
      <c r="Q11" s="3">
        <f t="shared" si="1"/>
        <v>100</v>
      </c>
      <c r="S11">
        <f t="shared" si="2"/>
        <v>30</v>
      </c>
      <c r="T11" s="4"/>
    </row>
    <row r="12" spans="1:20" ht="16" x14ac:dyDescent="0.2">
      <c r="A12">
        <v>2023011</v>
      </c>
      <c r="B12">
        <v>23455</v>
      </c>
      <c r="C12" t="s">
        <v>10</v>
      </c>
      <c r="D12">
        <v>23453</v>
      </c>
      <c r="E12" t="s">
        <v>9</v>
      </c>
      <c r="F12" s="1">
        <f t="shared" si="0"/>
        <v>45142</v>
      </c>
      <c r="G12" s="1">
        <f t="shared" si="3"/>
        <v>45156</v>
      </c>
      <c r="H12" t="s">
        <v>14</v>
      </c>
      <c r="I12">
        <v>10</v>
      </c>
      <c r="J12">
        <v>6000</v>
      </c>
      <c r="K12">
        <v>6000</v>
      </c>
      <c r="L12">
        <v>14</v>
      </c>
      <c r="M12">
        <v>60</v>
      </c>
      <c r="N12" s="2" t="s">
        <v>15</v>
      </c>
      <c r="O12" s="9" t="s">
        <v>43</v>
      </c>
      <c r="P12" s="9" t="s">
        <v>42</v>
      </c>
      <c r="Q12" s="3">
        <f t="shared" si="1"/>
        <v>100</v>
      </c>
      <c r="S12">
        <f t="shared" si="2"/>
        <v>31</v>
      </c>
      <c r="T12" s="4"/>
    </row>
    <row r="13" spans="1:20" ht="16" x14ac:dyDescent="0.2">
      <c r="A13">
        <v>2023012</v>
      </c>
      <c r="B13">
        <v>23455</v>
      </c>
      <c r="C13" t="s">
        <v>10</v>
      </c>
      <c r="D13">
        <v>23453</v>
      </c>
      <c r="E13" t="s">
        <v>9</v>
      </c>
      <c r="F13" s="1">
        <f t="shared" si="0"/>
        <v>45149</v>
      </c>
      <c r="G13" s="1">
        <f t="shared" si="3"/>
        <v>45163</v>
      </c>
      <c r="H13" t="s">
        <v>14</v>
      </c>
      <c r="I13">
        <v>10</v>
      </c>
      <c r="J13">
        <v>6000</v>
      </c>
      <c r="K13">
        <v>6000</v>
      </c>
      <c r="L13">
        <v>14</v>
      </c>
      <c r="M13">
        <v>60</v>
      </c>
      <c r="N13" s="2" t="s">
        <v>15</v>
      </c>
      <c r="O13" s="9" t="s">
        <v>43</v>
      </c>
      <c r="P13" s="9" t="s">
        <v>42</v>
      </c>
      <c r="Q13" s="3">
        <f t="shared" si="1"/>
        <v>100</v>
      </c>
      <c r="S13">
        <f t="shared" si="2"/>
        <v>32</v>
      </c>
      <c r="T13" s="4"/>
    </row>
    <row r="14" spans="1:20" ht="16" x14ac:dyDescent="0.2">
      <c r="A14">
        <v>2023013</v>
      </c>
      <c r="B14">
        <v>23455</v>
      </c>
      <c r="C14" t="s">
        <v>10</v>
      </c>
      <c r="D14">
        <v>23453</v>
      </c>
      <c r="E14" t="s">
        <v>9</v>
      </c>
      <c r="F14" s="1">
        <f t="shared" si="0"/>
        <v>45156</v>
      </c>
      <c r="G14" s="1">
        <f t="shared" si="3"/>
        <v>45170</v>
      </c>
      <c r="H14" t="s">
        <v>14</v>
      </c>
      <c r="I14">
        <v>10</v>
      </c>
      <c r="J14">
        <v>6000</v>
      </c>
      <c r="K14">
        <v>6000</v>
      </c>
      <c r="L14">
        <v>14</v>
      </c>
      <c r="M14">
        <v>60</v>
      </c>
      <c r="N14" s="2" t="s">
        <v>15</v>
      </c>
      <c r="O14" s="9" t="s">
        <v>43</v>
      </c>
      <c r="P14" s="9" t="s">
        <v>42</v>
      </c>
      <c r="Q14" s="3">
        <f t="shared" si="1"/>
        <v>100</v>
      </c>
      <c r="S14">
        <f t="shared" si="2"/>
        <v>33</v>
      </c>
      <c r="T14" s="4"/>
    </row>
    <row r="15" spans="1:20" ht="16" x14ac:dyDescent="0.2">
      <c r="A15">
        <v>2023014</v>
      </c>
      <c r="B15">
        <v>23455</v>
      </c>
      <c r="C15" t="s">
        <v>10</v>
      </c>
      <c r="D15">
        <v>23453</v>
      </c>
      <c r="E15" t="s">
        <v>9</v>
      </c>
      <c r="F15" s="1">
        <f t="shared" si="0"/>
        <v>45163</v>
      </c>
      <c r="G15" s="1">
        <f t="shared" si="3"/>
        <v>45177</v>
      </c>
      <c r="H15" t="s">
        <v>14</v>
      </c>
      <c r="I15">
        <v>10</v>
      </c>
      <c r="J15">
        <v>6000</v>
      </c>
      <c r="K15">
        <v>6000</v>
      </c>
      <c r="L15">
        <v>14</v>
      </c>
      <c r="M15">
        <v>60</v>
      </c>
      <c r="N15" s="2" t="s">
        <v>15</v>
      </c>
      <c r="O15" s="9" t="s">
        <v>43</v>
      </c>
      <c r="P15" s="9" t="s">
        <v>42</v>
      </c>
      <c r="Q15" s="3">
        <f t="shared" si="1"/>
        <v>100</v>
      </c>
      <c r="S15">
        <f t="shared" si="2"/>
        <v>34</v>
      </c>
      <c r="T15" s="4"/>
    </row>
    <row r="16" spans="1:20" ht="16" x14ac:dyDescent="0.2">
      <c r="A16">
        <v>2023015</v>
      </c>
      <c r="B16">
        <v>23455</v>
      </c>
      <c r="C16" t="s">
        <v>10</v>
      </c>
      <c r="D16">
        <v>23453</v>
      </c>
      <c r="E16" t="s">
        <v>9</v>
      </c>
      <c r="F16" s="1">
        <f t="shared" si="0"/>
        <v>45170</v>
      </c>
      <c r="G16" s="1">
        <f t="shared" si="3"/>
        <v>45184</v>
      </c>
      <c r="H16" t="s">
        <v>14</v>
      </c>
      <c r="I16">
        <v>10</v>
      </c>
      <c r="J16">
        <v>6000</v>
      </c>
      <c r="K16">
        <v>6000</v>
      </c>
      <c r="L16">
        <v>14</v>
      </c>
      <c r="M16">
        <v>60</v>
      </c>
      <c r="N16" s="2" t="s">
        <v>15</v>
      </c>
      <c r="O16" s="9" t="s">
        <v>43</v>
      </c>
      <c r="P16" s="9" t="s">
        <v>42</v>
      </c>
      <c r="Q16" s="3">
        <f t="shared" si="1"/>
        <v>100</v>
      </c>
      <c r="S16">
        <f t="shared" si="2"/>
        <v>35</v>
      </c>
      <c r="T16" s="4"/>
    </row>
    <row r="17" spans="1:20" ht="16" x14ac:dyDescent="0.2">
      <c r="A17">
        <v>2023016</v>
      </c>
      <c r="B17">
        <v>23455</v>
      </c>
      <c r="C17" t="s">
        <v>10</v>
      </c>
      <c r="D17">
        <v>23453</v>
      </c>
      <c r="E17" t="s">
        <v>9</v>
      </c>
      <c r="F17" s="1">
        <f t="shared" si="0"/>
        <v>45177</v>
      </c>
      <c r="G17" s="1">
        <f t="shared" si="3"/>
        <v>45191</v>
      </c>
      <c r="H17" t="s">
        <v>14</v>
      </c>
      <c r="I17">
        <v>10</v>
      </c>
      <c r="J17">
        <v>6000</v>
      </c>
      <c r="K17">
        <v>6000</v>
      </c>
      <c r="L17">
        <v>14</v>
      </c>
      <c r="M17">
        <v>60</v>
      </c>
      <c r="N17" s="2" t="s">
        <v>15</v>
      </c>
      <c r="O17" s="9" t="s">
        <v>43</v>
      </c>
      <c r="P17" s="9" t="s">
        <v>42</v>
      </c>
      <c r="Q17" s="3">
        <f t="shared" si="1"/>
        <v>100</v>
      </c>
      <c r="S17">
        <f t="shared" si="2"/>
        <v>36</v>
      </c>
      <c r="T17" s="4"/>
    </row>
    <row r="18" spans="1:20" ht="16" x14ac:dyDescent="0.2">
      <c r="A18">
        <v>2023017</v>
      </c>
      <c r="B18">
        <v>23455</v>
      </c>
      <c r="C18" t="s">
        <v>10</v>
      </c>
      <c r="D18">
        <v>23453</v>
      </c>
      <c r="E18" t="s">
        <v>9</v>
      </c>
      <c r="F18" s="1">
        <f t="shared" si="0"/>
        <v>45184</v>
      </c>
      <c r="G18" s="1">
        <f t="shared" si="3"/>
        <v>45198</v>
      </c>
      <c r="H18" t="s">
        <v>14</v>
      </c>
      <c r="I18">
        <v>10</v>
      </c>
      <c r="J18">
        <v>6000</v>
      </c>
      <c r="K18">
        <v>6000</v>
      </c>
      <c r="L18">
        <v>14</v>
      </c>
      <c r="M18">
        <v>60</v>
      </c>
      <c r="N18" s="2" t="s">
        <v>15</v>
      </c>
      <c r="O18" s="9" t="s">
        <v>43</v>
      </c>
      <c r="P18" s="9" t="s">
        <v>42</v>
      </c>
      <c r="Q18" s="3">
        <f t="shared" si="1"/>
        <v>100</v>
      </c>
      <c r="S18">
        <f t="shared" si="2"/>
        <v>37</v>
      </c>
      <c r="T18" s="4"/>
    </row>
    <row r="19" spans="1:20" ht="16" x14ac:dyDescent="0.2">
      <c r="A19">
        <v>2023018</v>
      </c>
      <c r="B19">
        <v>23455</v>
      </c>
      <c r="C19" t="s">
        <v>10</v>
      </c>
      <c r="D19">
        <v>23453</v>
      </c>
      <c r="E19" t="s">
        <v>9</v>
      </c>
      <c r="F19" s="1">
        <f t="shared" si="0"/>
        <v>45191</v>
      </c>
      <c r="G19" s="1">
        <f t="shared" si="3"/>
        <v>45205</v>
      </c>
      <c r="H19" t="s">
        <v>14</v>
      </c>
      <c r="I19">
        <v>10</v>
      </c>
      <c r="J19">
        <v>6000</v>
      </c>
      <c r="K19">
        <v>6000</v>
      </c>
      <c r="L19">
        <v>14</v>
      </c>
      <c r="M19">
        <v>60</v>
      </c>
      <c r="N19" s="2" t="s">
        <v>15</v>
      </c>
      <c r="O19" s="9" t="s">
        <v>43</v>
      </c>
      <c r="P19" s="9" t="s">
        <v>42</v>
      </c>
      <c r="Q19" s="3">
        <f t="shared" si="1"/>
        <v>100</v>
      </c>
      <c r="S19">
        <f t="shared" si="2"/>
        <v>38</v>
      </c>
      <c r="T19" s="4"/>
    </row>
    <row r="20" spans="1:20" ht="16" x14ac:dyDescent="0.2">
      <c r="A20">
        <v>2023019</v>
      </c>
      <c r="B20">
        <v>23455</v>
      </c>
      <c r="C20" t="s">
        <v>10</v>
      </c>
      <c r="D20">
        <v>23453</v>
      </c>
      <c r="E20" t="s">
        <v>9</v>
      </c>
      <c r="F20" s="1">
        <f t="shared" si="0"/>
        <v>45198</v>
      </c>
      <c r="G20" s="1">
        <f t="shared" si="3"/>
        <v>45212</v>
      </c>
      <c r="H20" t="s">
        <v>14</v>
      </c>
      <c r="I20">
        <v>10</v>
      </c>
      <c r="J20">
        <v>6000</v>
      </c>
      <c r="K20">
        <v>6000</v>
      </c>
      <c r="L20">
        <v>14</v>
      </c>
      <c r="M20">
        <v>60</v>
      </c>
      <c r="N20" s="2" t="s">
        <v>15</v>
      </c>
      <c r="O20" s="9" t="s">
        <v>43</v>
      </c>
      <c r="P20" s="9" t="s">
        <v>42</v>
      </c>
      <c r="Q20" s="3">
        <f t="shared" si="1"/>
        <v>100</v>
      </c>
      <c r="S20">
        <f t="shared" si="2"/>
        <v>39</v>
      </c>
      <c r="T20" s="4"/>
    </row>
    <row r="21" spans="1:20" ht="16" x14ac:dyDescent="0.2">
      <c r="A21">
        <v>2023020</v>
      </c>
      <c r="B21">
        <v>23455</v>
      </c>
      <c r="C21" t="s">
        <v>10</v>
      </c>
      <c r="D21">
        <v>23453</v>
      </c>
      <c r="E21" t="s">
        <v>9</v>
      </c>
      <c r="F21" s="1">
        <f t="shared" si="0"/>
        <v>45205</v>
      </c>
      <c r="G21" s="1">
        <f t="shared" si="3"/>
        <v>45219</v>
      </c>
      <c r="H21" t="s">
        <v>14</v>
      </c>
      <c r="I21">
        <v>10</v>
      </c>
      <c r="J21">
        <v>6000</v>
      </c>
      <c r="K21">
        <v>6000</v>
      </c>
      <c r="L21">
        <v>14</v>
      </c>
      <c r="M21">
        <v>60</v>
      </c>
      <c r="N21" s="2" t="s">
        <v>15</v>
      </c>
      <c r="O21" s="9" t="s">
        <v>43</v>
      </c>
      <c r="P21" s="9" t="s">
        <v>42</v>
      </c>
      <c r="Q21" s="3">
        <f t="shared" si="1"/>
        <v>100</v>
      </c>
      <c r="S21">
        <f t="shared" si="2"/>
        <v>40</v>
      </c>
      <c r="T21" s="4"/>
    </row>
    <row r="22" spans="1:20" ht="16" x14ac:dyDescent="0.2">
      <c r="A22">
        <v>2023021</v>
      </c>
      <c r="B22">
        <v>23455</v>
      </c>
      <c r="C22" t="s">
        <v>10</v>
      </c>
      <c r="D22">
        <v>23453</v>
      </c>
      <c r="E22" t="s">
        <v>9</v>
      </c>
      <c r="F22" s="1">
        <f t="shared" si="0"/>
        <v>45212</v>
      </c>
      <c r="G22" s="1">
        <f t="shared" si="3"/>
        <v>45226</v>
      </c>
      <c r="H22" t="s">
        <v>14</v>
      </c>
      <c r="I22">
        <v>10</v>
      </c>
      <c r="J22">
        <v>6000</v>
      </c>
      <c r="K22">
        <v>6000</v>
      </c>
      <c r="L22">
        <v>14</v>
      </c>
      <c r="M22">
        <v>60</v>
      </c>
      <c r="N22" s="2" t="s">
        <v>15</v>
      </c>
      <c r="O22" s="9" t="s">
        <v>43</v>
      </c>
      <c r="P22" s="9" t="s">
        <v>42</v>
      </c>
      <c r="Q22" s="3">
        <f t="shared" si="1"/>
        <v>100</v>
      </c>
      <c r="S22">
        <f t="shared" si="2"/>
        <v>41</v>
      </c>
      <c r="T22" s="4"/>
    </row>
    <row r="23" spans="1:20" ht="16" x14ac:dyDescent="0.2">
      <c r="A23">
        <v>2023022</v>
      </c>
      <c r="B23">
        <v>23394</v>
      </c>
      <c r="C23" t="str">
        <f>E23&amp;"  Giess"</f>
        <v>Conti Gehäuse  Giess</v>
      </c>
      <c r="D23">
        <v>14854</v>
      </c>
      <c r="E23" t="s">
        <v>18</v>
      </c>
      <c r="F23" s="1">
        <f t="shared" ref="F23" si="4">+G23-L23</f>
        <v>45072</v>
      </c>
      <c r="G23" s="1">
        <v>45086</v>
      </c>
      <c r="H23" t="s">
        <v>14</v>
      </c>
      <c r="I23">
        <v>10</v>
      </c>
      <c r="J23">
        <v>4800</v>
      </c>
      <c r="K23">
        <v>4800</v>
      </c>
      <c r="L23">
        <v>14</v>
      </c>
      <c r="M23">
        <v>60</v>
      </c>
      <c r="N23" s="2" t="s">
        <v>23</v>
      </c>
      <c r="O23" s="9" t="s">
        <v>39</v>
      </c>
      <c r="P23" s="9" t="s">
        <v>40</v>
      </c>
      <c r="Q23" s="3">
        <f t="shared" si="1"/>
        <v>80</v>
      </c>
      <c r="S23">
        <f t="shared" si="2"/>
        <v>21</v>
      </c>
      <c r="T23" s="4"/>
    </row>
    <row r="24" spans="1:20" ht="16" x14ac:dyDescent="0.2">
      <c r="A24">
        <v>2023023</v>
      </c>
      <c r="B24">
        <v>23394</v>
      </c>
      <c r="C24" t="str">
        <f t="shared" ref="C24:C25" si="5">E24&amp;"  Giess"</f>
        <v>Conti Gehäuse  Giess</v>
      </c>
      <c r="D24">
        <v>14854</v>
      </c>
      <c r="E24" t="s">
        <v>18</v>
      </c>
      <c r="F24" s="1">
        <f t="shared" ref="F24:F25" si="6">+G24-L24</f>
        <v>45079</v>
      </c>
      <c r="G24" s="1">
        <f>+G23+7</f>
        <v>45093</v>
      </c>
      <c r="H24" t="s">
        <v>14</v>
      </c>
      <c r="I24">
        <v>10</v>
      </c>
      <c r="J24">
        <v>4800</v>
      </c>
      <c r="K24">
        <v>4800</v>
      </c>
      <c r="L24">
        <v>14</v>
      </c>
      <c r="M24">
        <v>60</v>
      </c>
      <c r="N24" s="2" t="s">
        <v>23</v>
      </c>
      <c r="O24" s="9" t="s">
        <v>39</v>
      </c>
      <c r="P24" s="9" t="s">
        <v>40</v>
      </c>
      <c r="Q24" s="3">
        <f t="shared" ref="Q24:Q25" si="7">+M24*J24/3600</f>
        <v>80</v>
      </c>
      <c r="S24">
        <f t="shared" si="2"/>
        <v>22</v>
      </c>
      <c r="T24" s="4"/>
    </row>
    <row r="25" spans="1:20" ht="16" x14ac:dyDescent="0.2">
      <c r="A25">
        <v>2023024</v>
      </c>
      <c r="B25">
        <v>23394</v>
      </c>
      <c r="C25" t="str">
        <f t="shared" si="5"/>
        <v>Conti Gehäuse  Giess</v>
      </c>
      <c r="D25">
        <v>14854</v>
      </c>
      <c r="E25" t="s">
        <v>18</v>
      </c>
      <c r="F25" s="1">
        <f t="shared" si="6"/>
        <v>45086</v>
      </c>
      <c r="G25" s="1">
        <f t="shared" ref="G25:G43" si="8">+G24+7</f>
        <v>45100</v>
      </c>
      <c r="H25" t="s">
        <v>14</v>
      </c>
      <c r="I25">
        <v>10</v>
      </c>
      <c r="J25">
        <v>4800</v>
      </c>
      <c r="K25">
        <v>4800</v>
      </c>
      <c r="L25">
        <v>14</v>
      </c>
      <c r="M25">
        <v>60</v>
      </c>
      <c r="N25" s="2" t="s">
        <v>23</v>
      </c>
      <c r="O25" s="9" t="s">
        <v>39</v>
      </c>
      <c r="P25" s="9" t="s">
        <v>40</v>
      </c>
      <c r="Q25" s="3">
        <f t="shared" si="7"/>
        <v>80</v>
      </c>
      <c r="S25">
        <f t="shared" si="2"/>
        <v>23</v>
      </c>
      <c r="T25" s="4"/>
    </row>
    <row r="26" spans="1:20" ht="16" x14ac:dyDescent="0.2">
      <c r="A26">
        <v>2023025</v>
      </c>
      <c r="B26">
        <v>23394</v>
      </c>
      <c r="C26" t="str">
        <f t="shared" ref="C26:C43" si="9">E26&amp;"  Giess"</f>
        <v>Conti Gehäuse  Giess</v>
      </c>
      <c r="D26">
        <v>14854</v>
      </c>
      <c r="E26" t="s">
        <v>18</v>
      </c>
      <c r="F26" s="1">
        <f t="shared" ref="F26:F43" si="10">+G26-L26</f>
        <v>45093</v>
      </c>
      <c r="G26" s="1">
        <f t="shared" si="8"/>
        <v>45107</v>
      </c>
      <c r="H26" t="s">
        <v>14</v>
      </c>
      <c r="I26">
        <v>10</v>
      </c>
      <c r="J26">
        <v>4800</v>
      </c>
      <c r="K26">
        <v>4800</v>
      </c>
      <c r="L26">
        <v>14</v>
      </c>
      <c r="M26">
        <v>60</v>
      </c>
      <c r="N26" s="2" t="s">
        <v>23</v>
      </c>
      <c r="O26" s="9" t="s">
        <v>39</v>
      </c>
      <c r="P26" s="9" t="s">
        <v>40</v>
      </c>
      <c r="Q26" s="3">
        <f t="shared" ref="Q26:Q43" si="11">+M26*J26/3600</f>
        <v>80</v>
      </c>
      <c r="S26">
        <f t="shared" si="2"/>
        <v>24</v>
      </c>
      <c r="T26" s="4"/>
    </row>
    <row r="27" spans="1:20" ht="16" x14ac:dyDescent="0.2">
      <c r="A27">
        <v>2023026</v>
      </c>
      <c r="B27">
        <v>23394</v>
      </c>
      <c r="C27" t="str">
        <f t="shared" si="9"/>
        <v>Conti Gehäuse  Giess</v>
      </c>
      <c r="D27">
        <v>14854</v>
      </c>
      <c r="E27" t="s">
        <v>18</v>
      </c>
      <c r="F27" s="1">
        <f t="shared" si="10"/>
        <v>45100</v>
      </c>
      <c r="G27" s="1">
        <f t="shared" si="8"/>
        <v>45114</v>
      </c>
      <c r="H27" t="s">
        <v>14</v>
      </c>
      <c r="I27">
        <v>10</v>
      </c>
      <c r="J27">
        <v>4800</v>
      </c>
      <c r="K27">
        <v>4800</v>
      </c>
      <c r="L27">
        <v>14</v>
      </c>
      <c r="M27">
        <v>60</v>
      </c>
      <c r="N27" s="2" t="s">
        <v>23</v>
      </c>
      <c r="O27" s="9" t="s">
        <v>39</v>
      </c>
      <c r="P27" s="9" t="s">
        <v>40</v>
      </c>
      <c r="Q27" s="3">
        <f t="shared" si="11"/>
        <v>80</v>
      </c>
      <c r="S27">
        <f t="shared" si="2"/>
        <v>25</v>
      </c>
      <c r="T27" s="4"/>
    </row>
    <row r="28" spans="1:20" ht="16" x14ac:dyDescent="0.2">
      <c r="A28">
        <v>2023027</v>
      </c>
      <c r="B28">
        <v>23394</v>
      </c>
      <c r="C28" t="str">
        <f t="shared" si="9"/>
        <v>Conti Gehäuse  Giess</v>
      </c>
      <c r="D28">
        <v>14854</v>
      </c>
      <c r="E28" t="s">
        <v>18</v>
      </c>
      <c r="F28" s="1">
        <f t="shared" si="10"/>
        <v>45107</v>
      </c>
      <c r="G28" s="1">
        <f t="shared" si="8"/>
        <v>45121</v>
      </c>
      <c r="H28" t="s">
        <v>14</v>
      </c>
      <c r="I28">
        <v>10</v>
      </c>
      <c r="J28">
        <v>4800</v>
      </c>
      <c r="K28">
        <v>4800</v>
      </c>
      <c r="L28">
        <v>14</v>
      </c>
      <c r="M28">
        <v>60</v>
      </c>
      <c r="N28" s="2" t="s">
        <v>23</v>
      </c>
      <c r="O28" s="9" t="s">
        <v>39</v>
      </c>
      <c r="P28" s="9" t="s">
        <v>40</v>
      </c>
      <c r="Q28" s="3">
        <f t="shared" si="11"/>
        <v>80</v>
      </c>
      <c r="S28">
        <f t="shared" si="2"/>
        <v>26</v>
      </c>
      <c r="T28" s="4"/>
    </row>
    <row r="29" spans="1:20" ht="16" x14ac:dyDescent="0.2">
      <c r="A29">
        <v>2023028</v>
      </c>
      <c r="B29">
        <v>23394</v>
      </c>
      <c r="C29" t="str">
        <f t="shared" si="9"/>
        <v>Conti Gehäuse  Giess</v>
      </c>
      <c r="D29">
        <v>14854</v>
      </c>
      <c r="E29" t="s">
        <v>18</v>
      </c>
      <c r="F29" s="1">
        <f t="shared" si="10"/>
        <v>45114</v>
      </c>
      <c r="G29" s="1">
        <f t="shared" si="8"/>
        <v>45128</v>
      </c>
      <c r="H29" t="s">
        <v>14</v>
      </c>
      <c r="I29">
        <v>10</v>
      </c>
      <c r="J29">
        <v>4800</v>
      </c>
      <c r="K29">
        <v>4800</v>
      </c>
      <c r="L29">
        <v>14</v>
      </c>
      <c r="M29">
        <v>60</v>
      </c>
      <c r="N29" s="2" t="s">
        <v>23</v>
      </c>
      <c r="O29" s="9" t="s">
        <v>39</v>
      </c>
      <c r="P29" s="9" t="s">
        <v>40</v>
      </c>
      <c r="Q29" s="3">
        <f t="shared" si="11"/>
        <v>80</v>
      </c>
      <c r="S29">
        <f t="shared" si="2"/>
        <v>27</v>
      </c>
      <c r="T29" s="4"/>
    </row>
    <row r="30" spans="1:20" ht="16" x14ac:dyDescent="0.2">
      <c r="A30">
        <v>2023029</v>
      </c>
      <c r="B30">
        <v>23394</v>
      </c>
      <c r="C30" t="str">
        <f t="shared" si="9"/>
        <v>Conti Gehäuse  Giess</v>
      </c>
      <c r="D30">
        <v>14854</v>
      </c>
      <c r="E30" t="s">
        <v>18</v>
      </c>
      <c r="F30" s="1">
        <f t="shared" si="10"/>
        <v>45121</v>
      </c>
      <c r="G30" s="1">
        <f t="shared" si="8"/>
        <v>45135</v>
      </c>
      <c r="H30" t="s">
        <v>14</v>
      </c>
      <c r="I30">
        <v>10</v>
      </c>
      <c r="J30">
        <v>4800</v>
      </c>
      <c r="K30">
        <v>4800</v>
      </c>
      <c r="L30">
        <v>14</v>
      </c>
      <c r="M30">
        <v>60</v>
      </c>
      <c r="N30" s="2" t="s">
        <v>23</v>
      </c>
      <c r="O30" s="9" t="s">
        <v>39</v>
      </c>
      <c r="P30" s="9" t="s">
        <v>40</v>
      </c>
      <c r="Q30" s="3">
        <f t="shared" si="11"/>
        <v>80</v>
      </c>
      <c r="S30">
        <f t="shared" si="2"/>
        <v>28</v>
      </c>
      <c r="T30" s="4"/>
    </row>
    <row r="31" spans="1:20" ht="16" x14ac:dyDescent="0.2">
      <c r="A31">
        <v>2023030</v>
      </c>
      <c r="B31">
        <v>23394</v>
      </c>
      <c r="C31" t="str">
        <f t="shared" si="9"/>
        <v>Conti Gehäuse  Giess</v>
      </c>
      <c r="D31">
        <v>14854</v>
      </c>
      <c r="E31" t="s">
        <v>18</v>
      </c>
      <c r="F31" s="1">
        <f t="shared" si="10"/>
        <v>45128</v>
      </c>
      <c r="G31" s="1">
        <f t="shared" si="8"/>
        <v>45142</v>
      </c>
      <c r="H31" t="s">
        <v>14</v>
      </c>
      <c r="I31">
        <v>10</v>
      </c>
      <c r="J31">
        <v>4800</v>
      </c>
      <c r="K31">
        <v>4800</v>
      </c>
      <c r="L31">
        <v>14</v>
      </c>
      <c r="M31">
        <v>60</v>
      </c>
      <c r="N31" s="2" t="s">
        <v>23</v>
      </c>
      <c r="O31" s="9" t="s">
        <v>39</v>
      </c>
      <c r="P31" s="9" t="s">
        <v>40</v>
      </c>
      <c r="Q31" s="3">
        <f t="shared" si="11"/>
        <v>80</v>
      </c>
      <c r="S31">
        <f t="shared" si="2"/>
        <v>29</v>
      </c>
      <c r="T31" s="4"/>
    </row>
    <row r="32" spans="1:20" ht="16" x14ac:dyDescent="0.2">
      <c r="A32">
        <v>2023031</v>
      </c>
      <c r="B32">
        <v>23394</v>
      </c>
      <c r="C32" t="str">
        <f t="shared" si="9"/>
        <v>Conti Gehäuse  Giess</v>
      </c>
      <c r="D32">
        <v>14854</v>
      </c>
      <c r="E32" t="s">
        <v>18</v>
      </c>
      <c r="F32" s="1">
        <f t="shared" si="10"/>
        <v>45135</v>
      </c>
      <c r="G32" s="1">
        <f t="shared" si="8"/>
        <v>45149</v>
      </c>
      <c r="H32" t="s">
        <v>14</v>
      </c>
      <c r="I32">
        <v>10</v>
      </c>
      <c r="J32">
        <v>4800</v>
      </c>
      <c r="K32">
        <v>4800</v>
      </c>
      <c r="L32">
        <v>14</v>
      </c>
      <c r="M32">
        <v>60</v>
      </c>
      <c r="N32" s="2" t="s">
        <v>23</v>
      </c>
      <c r="O32" s="9" t="s">
        <v>39</v>
      </c>
      <c r="P32" s="9" t="s">
        <v>40</v>
      </c>
      <c r="Q32" s="3">
        <f t="shared" si="11"/>
        <v>80</v>
      </c>
      <c r="S32">
        <f t="shared" si="2"/>
        <v>30</v>
      </c>
      <c r="T32" s="4"/>
    </row>
    <row r="33" spans="1:20" ht="16" x14ac:dyDescent="0.2">
      <c r="A33">
        <v>2023032</v>
      </c>
      <c r="B33">
        <v>23394</v>
      </c>
      <c r="C33" t="str">
        <f t="shared" si="9"/>
        <v>Conti Gehäuse  Giess</v>
      </c>
      <c r="D33">
        <v>14854</v>
      </c>
      <c r="E33" t="s">
        <v>18</v>
      </c>
      <c r="F33" s="1">
        <f t="shared" si="10"/>
        <v>45142</v>
      </c>
      <c r="G33" s="1">
        <f t="shared" si="8"/>
        <v>45156</v>
      </c>
      <c r="H33" t="s">
        <v>14</v>
      </c>
      <c r="I33">
        <v>10</v>
      </c>
      <c r="J33">
        <v>4800</v>
      </c>
      <c r="K33">
        <v>4800</v>
      </c>
      <c r="L33">
        <v>14</v>
      </c>
      <c r="M33">
        <v>60</v>
      </c>
      <c r="N33" s="2" t="s">
        <v>23</v>
      </c>
      <c r="O33" s="9" t="s">
        <v>39</v>
      </c>
      <c r="P33" s="9" t="s">
        <v>40</v>
      </c>
      <c r="Q33" s="3">
        <f t="shared" si="11"/>
        <v>80</v>
      </c>
      <c r="S33">
        <f t="shared" si="2"/>
        <v>31</v>
      </c>
      <c r="T33" s="4"/>
    </row>
    <row r="34" spans="1:20" ht="16" x14ac:dyDescent="0.2">
      <c r="A34">
        <v>2023033</v>
      </c>
      <c r="B34">
        <v>23394</v>
      </c>
      <c r="C34" t="str">
        <f t="shared" si="9"/>
        <v>Conti Gehäuse  Giess</v>
      </c>
      <c r="D34">
        <v>14854</v>
      </c>
      <c r="E34" t="s">
        <v>18</v>
      </c>
      <c r="F34" s="1">
        <f t="shared" si="10"/>
        <v>45149</v>
      </c>
      <c r="G34" s="1">
        <f t="shared" si="8"/>
        <v>45163</v>
      </c>
      <c r="H34" t="s">
        <v>14</v>
      </c>
      <c r="I34">
        <v>10</v>
      </c>
      <c r="J34">
        <v>4800</v>
      </c>
      <c r="K34">
        <v>4800</v>
      </c>
      <c r="L34">
        <v>14</v>
      </c>
      <c r="M34">
        <v>60</v>
      </c>
      <c r="N34" s="2" t="s">
        <v>23</v>
      </c>
      <c r="O34" s="9" t="s">
        <v>39</v>
      </c>
      <c r="P34" s="9" t="s">
        <v>40</v>
      </c>
      <c r="Q34" s="3">
        <f t="shared" si="11"/>
        <v>80</v>
      </c>
      <c r="S34">
        <f t="shared" si="2"/>
        <v>32</v>
      </c>
      <c r="T34" s="4"/>
    </row>
    <row r="35" spans="1:20" ht="16" x14ac:dyDescent="0.2">
      <c r="A35">
        <v>2023034</v>
      </c>
      <c r="B35">
        <v>23394</v>
      </c>
      <c r="C35" t="str">
        <f t="shared" si="9"/>
        <v>Conti Gehäuse  Giess</v>
      </c>
      <c r="D35">
        <v>14854</v>
      </c>
      <c r="E35" t="s">
        <v>18</v>
      </c>
      <c r="F35" s="1">
        <f t="shared" si="10"/>
        <v>45156</v>
      </c>
      <c r="G35" s="1">
        <f t="shared" si="8"/>
        <v>45170</v>
      </c>
      <c r="H35" t="s">
        <v>14</v>
      </c>
      <c r="I35">
        <v>10</v>
      </c>
      <c r="J35">
        <v>4800</v>
      </c>
      <c r="K35">
        <v>4800</v>
      </c>
      <c r="L35">
        <v>14</v>
      </c>
      <c r="M35">
        <v>60</v>
      </c>
      <c r="N35" s="2" t="s">
        <v>23</v>
      </c>
      <c r="O35" s="9" t="s">
        <v>39</v>
      </c>
      <c r="P35" s="9" t="s">
        <v>40</v>
      </c>
      <c r="Q35" s="3">
        <f t="shared" si="11"/>
        <v>80</v>
      </c>
      <c r="S35">
        <f t="shared" si="2"/>
        <v>33</v>
      </c>
      <c r="T35" s="4"/>
    </row>
    <row r="36" spans="1:20" ht="16" x14ac:dyDescent="0.2">
      <c r="A36">
        <v>2023035</v>
      </c>
      <c r="B36">
        <v>23394</v>
      </c>
      <c r="C36" t="str">
        <f t="shared" si="9"/>
        <v>Conti Gehäuse  Giess</v>
      </c>
      <c r="D36">
        <v>14854</v>
      </c>
      <c r="E36" t="s">
        <v>18</v>
      </c>
      <c r="F36" s="1">
        <f t="shared" si="10"/>
        <v>45163</v>
      </c>
      <c r="G36" s="1">
        <f t="shared" si="8"/>
        <v>45177</v>
      </c>
      <c r="H36" t="s">
        <v>14</v>
      </c>
      <c r="I36">
        <v>10</v>
      </c>
      <c r="J36">
        <v>4800</v>
      </c>
      <c r="K36">
        <v>4800</v>
      </c>
      <c r="L36">
        <v>14</v>
      </c>
      <c r="M36">
        <v>60</v>
      </c>
      <c r="N36" s="2" t="s">
        <v>23</v>
      </c>
      <c r="O36" s="9" t="s">
        <v>39</v>
      </c>
      <c r="P36" s="9" t="s">
        <v>40</v>
      </c>
      <c r="Q36" s="3">
        <f t="shared" si="11"/>
        <v>80</v>
      </c>
      <c r="S36">
        <f t="shared" si="2"/>
        <v>34</v>
      </c>
      <c r="T36" s="4"/>
    </row>
    <row r="37" spans="1:20" ht="16" x14ac:dyDescent="0.2">
      <c r="A37">
        <v>2023036</v>
      </c>
      <c r="B37">
        <v>23394</v>
      </c>
      <c r="C37" t="str">
        <f t="shared" si="9"/>
        <v>Conti Gehäuse  Giess</v>
      </c>
      <c r="D37">
        <v>14854</v>
      </c>
      <c r="E37" t="s">
        <v>18</v>
      </c>
      <c r="F37" s="1">
        <f t="shared" si="10"/>
        <v>45170</v>
      </c>
      <c r="G37" s="1">
        <f t="shared" si="8"/>
        <v>45184</v>
      </c>
      <c r="H37" t="s">
        <v>14</v>
      </c>
      <c r="I37">
        <v>10</v>
      </c>
      <c r="J37">
        <v>4800</v>
      </c>
      <c r="K37">
        <v>4800</v>
      </c>
      <c r="L37">
        <v>14</v>
      </c>
      <c r="M37">
        <v>60</v>
      </c>
      <c r="N37" s="2" t="s">
        <v>23</v>
      </c>
      <c r="O37" s="9" t="s">
        <v>39</v>
      </c>
      <c r="P37" s="9" t="s">
        <v>40</v>
      </c>
      <c r="Q37" s="3">
        <f t="shared" si="11"/>
        <v>80</v>
      </c>
      <c r="S37">
        <f t="shared" si="2"/>
        <v>35</v>
      </c>
      <c r="T37" s="4"/>
    </row>
    <row r="38" spans="1:20" ht="16" x14ac:dyDescent="0.2">
      <c r="A38">
        <v>2023037</v>
      </c>
      <c r="B38">
        <v>23394</v>
      </c>
      <c r="C38" t="str">
        <f t="shared" si="9"/>
        <v>Conti Gehäuse  Giess</v>
      </c>
      <c r="D38">
        <v>14854</v>
      </c>
      <c r="E38" t="s">
        <v>18</v>
      </c>
      <c r="F38" s="1">
        <f t="shared" si="10"/>
        <v>45177</v>
      </c>
      <c r="G38" s="1">
        <f t="shared" si="8"/>
        <v>45191</v>
      </c>
      <c r="H38" t="s">
        <v>14</v>
      </c>
      <c r="I38">
        <v>10</v>
      </c>
      <c r="J38">
        <v>4800</v>
      </c>
      <c r="K38">
        <v>4800</v>
      </c>
      <c r="L38">
        <v>14</v>
      </c>
      <c r="M38">
        <v>60</v>
      </c>
      <c r="N38" s="2" t="s">
        <v>23</v>
      </c>
      <c r="O38" s="9" t="s">
        <v>39</v>
      </c>
      <c r="P38" s="9" t="s">
        <v>40</v>
      </c>
      <c r="Q38" s="3">
        <f t="shared" si="11"/>
        <v>80</v>
      </c>
      <c r="S38">
        <f t="shared" si="2"/>
        <v>36</v>
      </c>
      <c r="T38" s="4"/>
    </row>
    <row r="39" spans="1:20" ht="16" x14ac:dyDescent="0.2">
      <c r="A39">
        <v>2023038</v>
      </c>
      <c r="B39">
        <v>23394</v>
      </c>
      <c r="C39" t="str">
        <f t="shared" si="9"/>
        <v>Conti Gehäuse  Giess</v>
      </c>
      <c r="D39">
        <v>14854</v>
      </c>
      <c r="E39" t="s">
        <v>18</v>
      </c>
      <c r="F39" s="1">
        <f t="shared" si="10"/>
        <v>45184</v>
      </c>
      <c r="G39" s="1">
        <f t="shared" si="8"/>
        <v>45198</v>
      </c>
      <c r="H39" t="s">
        <v>14</v>
      </c>
      <c r="I39">
        <v>10</v>
      </c>
      <c r="J39">
        <v>4800</v>
      </c>
      <c r="K39">
        <v>4800</v>
      </c>
      <c r="L39">
        <v>14</v>
      </c>
      <c r="M39">
        <v>60</v>
      </c>
      <c r="N39" s="2" t="s">
        <v>23</v>
      </c>
      <c r="O39" s="9" t="s">
        <v>39</v>
      </c>
      <c r="P39" s="9" t="s">
        <v>40</v>
      </c>
      <c r="Q39" s="3">
        <f t="shared" si="11"/>
        <v>80</v>
      </c>
      <c r="S39">
        <f t="shared" si="2"/>
        <v>37</v>
      </c>
      <c r="T39" s="4"/>
    </row>
    <row r="40" spans="1:20" ht="16" x14ac:dyDescent="0.2">
      <c r="A40">
        <v>2023039</v>
      </c>
      <c r="B40">
        <v>23394</v>
      </c>
      <c r="C40" t="str">
        <f t="shared" si="9"/>
        <v>Conti Gehäuse  Giess</v>
      </c>
      <c r="D40">
        <v>14854</v>
      </c>
      <c r="E40" t="s">
        <v>18</v>
      </c>
      <c r="F40" s="1">
        <f t="shared" si="10"/>
        <v>45191</v>
      </c>
      <c r="G40" s="1">
        <f t="shared" si="8"/>
        <v>45205</v>
      </c>
      <c r="H40" t="s">
        <v>14</v>
      </c>
      <c r="I40">
        <v>10</v>
      </c>
      <c r="J40">
        <v>4800</v>
      </c>
      <c r="K40">
        <v>4800</v>
      </c>
      <c r="L40">
        <v>14</v>
      </c>
      <c r="M40">
        <v>60</v>
      </c>
      <c r="N40" s="2" t="s">
        <v>23</v>
      </c>
      <c r="O40" s="9" t="s">
        <v>39</v>
      </c>
      <c r="P40" s="9" t="s">
        <v>40</v>
      </c>
      <c r="Q40" s="3">
        <f t="shared" si="11"/>
        <v>80</v>
      </c>
      <c r="S40">
        <f t="shared" si="2"/>
        <v>38</v>
      </c>
      <c r="T40" s="4"/>
    </row>
    <row r="41" spans="1:20" ht="16" x14ac:dyDescent="0.2">
      <c r="A41">
        <v>2023040</v>
      </c>
      <c r="B41">
        <v>23394</v>
      </c>
      <c r="C41" t="str">
        <f t="shared" si="9"/>
        <v>Conti Gehäuse  Giess</v>
      </c>
      <c r="D41">
        <v>14854</v>
      </c>
      <c r="E41" t="s">
        <v>18</v>
      </c>
      <c r="F41" s="1">
        <f t="shared" si="10"/>
        <v>45198</v>
      </c>
      <c r="G41" s="1">
        <f t="shared" si="8"/>
        <v>45212</v>
      </c>
      <c r="H41" t="s">
        <v>14</v>
      </c>
      <c r="I41">
        <v>10</v>
      </c>
      <c r="J41">
        <v>4800</v>
      </c>
      <c r="K41">
        <v>4800</v>
      </c>
      <c r="L41">
        <v>14</v>
      </c>
      <c r="M41">
        <v>60</v>
      </c>
      <c r="N41" s="2" t="s">
        <v>23</v>
      </c>
      <c r="O41" s="9" t="s">
        <v>39</v>
      </c>
      <c r="P41" s="9" t="s">
        <v>40</v>
      </c>
      <c r="Q41" s="3">
        <f t="shared" si="11"/>
        <v>80</v>
      </c>
      <c r="S41">
        <f t="shared" si="2"/>
        <v>39</v>
      </c>
      <c r="T41" s="4"/>
    </row>
    <row r="42" spans="1:20" ht="16" x14ac:dyDescent="0.2">
      <c r="A42">
        <v>2023041</v>
      </c>
      <c r="B42">
        <v>23394</v>
      </c>
      <c r="C42" t="str">
        <f t="shared" si="9"/>
        <v>Conti Gehäuse  Giess</v>
      </c>
      <c r="D42">
        <v>14854</v>
      </c>
      <c r="E42" t="s">
        <v>18</v>
      </c>
      <c r="F42" s="1">
        <f t="shared" si="10"/>
        <v>45205</v>
      </c>
      <c r="G42" s="1">
        <f t="shared" si="8"/>
        <v>45219</v>
      </c>
      <c r="H42" t="s">
        <v>14</v>
      </c>
      <c r="I42">
        <v>10</v>
      </c>
      <c r="J42">
        <v>4800</v>
      </c>
      <c r="K42">
        <v>4800</v>
      </c>
      <c r="L42">
        <v>14</v>
      </c>
      <c r="M42">
        <v>60</v>
      </c>
      <c r="N42" s="2" t="s">
        <v>23</v>
      </c>
      <c r="O42" s="9" t="s">
        <v>39</v>
      </c>
      <c r="P42" s="9" t="s">
        <v>40</v>
      </c>
      <c r="Q42" s="3">
        <f t="shared" si="11"/>
        <v>80</v>
      </c>
      <c r="S42">
        <f t="shared" si="2"/>
        <v>40</v>
      </c>
      <c r="T42" s="4"/>
    </row>
    <row r="43" spans="1:20" ht="16" x14ac:dyDescent="0.2">
      <c r="A43">
        <v>2023042</v>
      </c>
      <c r="B43">
        <v>23394</v>
      </c>
      <c r="C43" t="str">
        <f t="shared" si="9"/>
        <v>Conti Gehäuse  Giess</v>
      </c>
      <c r="D43">
        <v>14854</v>
      </c>
      <c r="E43" t="s">
        <v>18</v>
      </c>
      <c r="F43" s="1">
        <f t="shared" si="10"/>
        <v>45212</v>
      </c>
      <c r="G43" s="1">
        <f t="shared" si="8"/>
        <v>45226</v>
      </c>
      <c r="H43" t="s">
        <v>14</v>
      </c>
      <c r="I43">
        <v>10</v>
      </c>
      <c r="J43">
        <v>4800</v>
      </c>
      <c r="K43">
        <v>4800</v>
      </c>
      <c r="L43">
        <v>14</v>
      </c>
      <c r="M43">
        <v>60</v>
      </c>
      <c r="N43" s="2" t="s">
        <v>23</v>
      </c>
      <c r="O43" s="9" t="s">
        <v>39</v>
      </c>
      <c r="P43" s="9" t="s">
        <v>40</v>
      </c>
      <c r="Q43" s="3">
        <f t="shared" si="11"/>
        <v>80</v>
      </c>
      <c r="S43">
        <f t="shared" si="2"/>
        <v>41</v>
      </c>
      <c r="T43" s="4"/>
    </row>
    <row r="44" spans="1:20" ht="16" x14ac:dyDescent="0.2">
      <c r="A44">
        <v>2023043</v>
      </c>
      <c r="B44">
        <v>23373</v>
      </c>
      <c r="C44" t="str">
        <f>E44&amp;"  Giess"</f>
        <v>ASD  Giess</v>
      </c>
      <c r="D44">
        <v>14818</v>
      </c>
      <c r="E44" t="s">
        <v>19</v>
      </c>
      <c r="F44" s="1">
        <f t="shared" ref="F44:F45" si="12">+G44-L44</f>
        <v>45072</v>
      </c>
      <c r="G44" s="1">
        <v>45086</v>
      </c>
      <c r="H44" t="s">
        <v>14</v>
      </c>
      <c r="I44">
        <v>10</v>
      </c>
      <c r="J44">
        <v>12000</v>
      </c>
      <c r="K44">
        <v>12000</v>
      </c>
      <c r="L44">
        <v>14</v>
      </c>
      <c r="M44">
        <v>60</v>
      </c>
      <c r="N44" s="2" t="s">
        <v>24</v>
      </c>
      <c r="O44" s="9" t="s">
        <v>44</v>
      </c>
      <c r="P44" s="9" t="s">
        <v>42</v>
      </c>
      <c r="Q44" s="3">
        <f t="shared" si="1"/>
        <v>200</v>
      </c>
      <c r="S44">
        <f t="shared" si="2"/>
        <v>21</v>
      </c>
      <c r="T44" s="4"/>
    </row>
    <row r="45" spans="1:20" ht="16" x14ac:dyDescent="0.2">
      <c r="A45">
        <v>2023044</v>
      </c>
      <c r="B45">
        <v>23373</v>
      </c>
      <c r="C45" t="str">
        <f>E45&amp;"  Giess"</f>
        <v>ASD  Giess</v>
      </c>
      <c r="D45">
        <v>14818</v>
      </c>
      <c r="E45" t="s">
        <v>19</v>
      </c>
      <c r="F45" s="1">
        <f t="shared" si="12"/>
        <v>45079</v>
      </c>
      <c r="G45" s="1">
        <f>+G44+7</f>
        <v>45093</v>
      </c>
      <c r="H45" t="s">
        <v>14</v>
      </c>
      <c r="I45">
        <v>10</v>
      </c>
      <c r="J45">
        <v>12000</v>
      </c>
      <c r="K45">
        <v>12000</v>
      </c>
      <c r="L45">
        <v>14</v>
      </c>
      <c r="M45">
        <v>60</v>
      </c>
      <c r="N45" s="2" t="s">
        <v>24</v>
      </c>
      <c r="O45" s="9" t="s">
        <v>44</v>
      </c>
      <c r="P45" s="9" t="s">
        <v>42</v>
      </c>
      <c r="Q45" s="3">
        <f t="shared" ref="Q45:Q46" si="13">+M45*J45/3600</f>
        <v>200</v>
      </c>
      <c r="S45">
        <f t="shared" si="2"/>
        <v>22</v>
      </c>
      <c r="T45" s="4"/>
    </row>
    <row r="46" spans="1:20" ht="16" x14ac:dyDescent="0.2">
      <c r="A46">
        <v>2023045</v>
      </c>
      <c r="B46">
        <v>23373</v>
      </c>
      <c r="C46" t="str">
        <f t="shared" ref="C46:C64" si="14">E46&amp;"  Giess"</f>
        <v>ASD  Giess</v>
      </c>
      <c r="D46">
        <v>14818</v>
      </c>
      <c r="E46" t="s">
        <v>19</v>
      </c>
      <c r="F46" s="1">
        <f t="shared" ref="F46:F64" si="15">+G46-L46</f>
        <v>45086</v>
      </c>
      <c r="G46" s="1">
        <f t="shared" ref="G46:G64" si="16">+G45+7</f>
        <v>45100</v>
      </c>
      <c r="H46" t="s">
        <v>14</v>
      </c>
      <c r="I46">
        <v>10</v>
      </c>
      <c r="J46">
        <v>12000</v>
      </c>
      <c r="K46">
        <v>12000</v>
      </c>
      <c r="L46">
        <v>14</v>
      </c>
      <c r="M46">
        <v>60</v>
      </c>
      <c r="N46" s="2" t="s">
        <v>24</v>
      </c>
      <c r="O46" s="9" t="s">
        <v>44</v>
      </c>
      <c r="P46" s="9" t="s">
        <v>42</v>
      </c>
      <c r="Q46" s="3">
        <f t="shared" si="13"/>
        <v>200</v>
      </c>
      <c r="S46">
        <f t="shared" si="2"/>
        <v>23</v>
      </c>
      <c r="T46" s="4"/>
    </row>
    <row r="47" spans="1:20" ht="16" x14ac:dyDescent="0.2">
      <c r="A47">
        <v>2023046</v>
      </c>
      <c r="B47">
        <v>23373</v>
      </c>
      <c r="C47" t="str">
        <f t="shared" si="14"/>
        <v>ASD  Giess</v>
      </c>
      <c r="D47">
        <v>14818</v>
      </c>
      <c r="E47" t="s">
        <v>19</v>
      </c>
      <c r="F47" s="1">
        <f t="shared" si="15"/>
        <v>45093</v>
      </c>
      <c r="G47" s="1">
        <f t="shared" si="16"/>
        <v>45107</v>
      </c>
      <c r="H47" t="s">
        <v>14</v>
      </c>
      <c r="I47">
        <v>10</v>
      </c>
      <c r="J47">
        <v>12000</v>
      </c>
      <c r="K47">
        <v>12000</v>
      </c>
      <c r="L47">
        <v>14</v>
      </c>
      <c r="M47">
        <v>60</v>
      </c>
      <c r="N47" s="2" t="s">
        <v>24</v>
      </c>
      <c r="O47" s="9" t="s">
        <v>44</v>
      </c>
      <c r="P47" s="9" t="s">
        <v>42</v>
      </c>
      <c r="Q47" s="3">
        <f t="shared" ref="Q47:Q64" si="17">+M47*J47/3600</f>
        <v>200</v>
      </c>
      <c r="S47">
        <f t="shared" si="2"/>
        <v>24</v>
      </c>
      <c r="T47" s="4"/>
    </row>
    <row r="48" spans="1:20" ht="16" x14ac:dyDescent="0.2">
      <c r="A48">
        <v>2023047</v>
      </c>
      <c r="B48">
        <v>23373</v>
      </c>
      <c r="C48" t="str">
        <f t="shared" si="14"/>
        <v>ASD  Giess</v>
      </c>
      <c r="D48">
        <v>14818</v>
      </c>
      <c r="E48" t="s">
        <v>19</v>
      </c>
      <c r="F48" s="1">
        <f t="shared" si="15"/>
        <v>45100</v>
      </c>
      <c r="G48" s="1">
        <f t="shared" si="16"/>
        <v>45114</v>
      </c>
      <c r="H48" t="s">
        <v>14</v>
      </c>
      <c r="I48">
        <v>10</v>
      </c>
      <c r="J48">
        <v>12000</v>
      </c>
      <c r="K48">
        <v>12000</v>
      </c>
      <c r="L48">
        <v>14</v>
      </c>
      <c r="M48">
        <v>60</v>
      </c>
      <c r="N48" s="2" t="s">
        <v>24</v>
      </c>
      <c r="O48" s="9" t="s">
        <v>44</v>
      </c>
      <c r="P48" s="9" t="s">
        <v>42</v>
      </c>
      <c r="Q48" s="3">
        <f t="shared" si="17"/>
        <v>200</v>
      </c>
      <c r="S48">
        <f t="shared" si="2"/>
        <v>25</v>
      </c>
      <c r="T48" s="4"/>
    </row>
    <row r="49" spans="1:20" ht="16" x14ac:dyDescent="0.2">
      <c r="A49">
        <v>2023048</v>
      </c>
      <c r="B49">
        <v>23373</v>
      </c>
      <c r="C49" t="str">
        <f t="shared" si="14"/>
        <v>ASD  Giess</v>
      </c>
      <c r="D49">
        <v>14818</v>
      </c>
      <c r="E49" t="s">
        <v>19</v>
      </c>
      <c r="F49" s="1">
        <f t="shared" si="15"/>
        <v>45107</v>
      </c>
      <c r="G49" s="1">
        <f t="shared" si="16"/>
        <v>45121</v>
      </c>
      <c r="H49" t="s">
        <v>14</v>
      </c>
      <c r="I49">
        <v>10</v>
      </c>
      <c r="J49">
        <v>12000</v>
      </c>
      <c r="K49">
        <v>12000</v>
      </c>
      <c r="L49">
        <v>14</v>
      </c>
      <c r="M49">
        <v>60</v>
      </c>
      <c r="N49" s="2" t="s">
        <v>24</v>
      </c>
      <c r="O49" s="9" t="s">
        <v>44</v>
      </c>
      <c r="P49" s="9" t="s">
        <v>42</v>
      </c>
      <c r="Q49" s="3">
        <f t="shared" si="17"/>
        <v>200</v>
      </c>
      <c r="S49">
        <f t="shared" si="2"/>
        <v>26</v>
      </c>
      <c r="T49" s="4"/>
    </row>
    <row r="50" spans="1:20" ht="16" x14ac:dyDescent="0.2">
      <c r="A50">
        <v>2023049</v>
      </c>
      <c r="B50">
        <v>23373</v>
      </c>
      <c r="C50" t="str">
        <f t="shared" si="14"/>
        <v>ASD  Giess</v>
      </c>
      <c r="D50">
        <v>14818</v>
      </c>
      <c r="E50" t="s">
        <v>19</v>
      </c>
      <c r="F50" s="1">
        <f t="shared" si="15"/>
        <v>45114</v>
      </c>
      <c r="G50" s="1">
        <f t="shared" si="16"/>
        <v>45128</v>
      </c>
      <c r="H50" t="s">
        <v>14</v>
      </c>
      <c r="I50">
        <v>10</v>
      </c>
      <c r="J50">
        <v>12000</v>
      </c>
      <c r="K50">
        <v>12000</v>
      </c>
      <c r="L50">
        <v>14</v>
      </c>
      <c r="M50">
        <v>60</v>
      </c>
      <c r="N50" s="2" t="s">
        <v>24</v>
      </c>
      <c r="O50" s="9" t="s">
        <v>44</v>
      </c>
      <c r="P50" s="9" t="s">
        <v>42</v>
      </c>
      <c r="Q50" s="3">
        <f t="shared" si="17"/>
        <v>200</v>
      </c>
      <c r="S50">
        <f t="shared" si="2"/>
        <v>27</v>
      </c>
      <c r="T50" s="4"/>
    </row>
    <row r="51" spans="1:20" ht="16" x14ac:dyDescent="0.2">
      <c r="A51">
        <v>2023050</v>
      </c>
      <c r="B51">
        <v>23373</v>
      </c>
      <c r="C51" t="str">
        <f t="shared" si="14"/>
        <v>ASD  Giess</v>
      </c>
      <c r="D51">
        <v>14818</v>
      </c>
      <c r="E51" t="s">
        <v>19</v>
      </c>
      <c r="F51" s="1">
        <f t="shared" si="15"/>
        <v>45121</v>
      </c>
      <c r="G51" s="1">
        <f t="shared" si="16"/>
        <v>45135</v>
      </c>
      <c r="H51" t="s">
        <v>14</v>
      </c>
      <c r="I51">
        <v>10</v>
      </c>
      <c r="J51">
        <v>12000</v>
      </c>
      <c r="K51">
        <v>12000</v>
      </c>
      <c r="L51">
        <v>14</v>
      </c>
      <c r="M51">
        <v>60</v>
      </c>
      <c r="N51" s="2" t="s">
        <v>24</v>
      </c>
      <c r="O51" s="9" t="s">
        <v>44</v>
      </c>
      <c r="P51" s="9" t="s">
        <v>42</v>
      </c>
      <c r="Q51" s="3">
        <f t="shared" si="17"/>
        <v>200</v>
      </c>
      <c r="S51">
        <f t="shared" si="2"/>
        <v>28</v>
      </c>
      <c r="T51" s="4"/>
    </row>
    <row r="52" spans="1:20" ht="16" x14ac:dyDescent="0.2">
      <c r="A52">
        <v>2023051</v>
      </c>
      <c r="B52">
        <v>23373</v>
      </c>
      <c r="C52" t="str">
        <f t="shared" si="14"/>
        <v>ASD  Giess</v>
      </c>
      <c r="D52">
        <v>14818</v>
      </c>
      <c r="E52" t="s">
        <v>19</v>
      </c>
      <c r="F52" s="1">
        <f t="shared" si="15"/>
        <v>45128</v>
      </c>
      <c r="G52" s="1">
        <f t="shared" si="16"/>
        <v>45142</v>
      </c>
      <c r="H52" t="s">
        <v>14</v>
      </c>
      <c r="I52">
        <v>10</v>
      </c>
      <c r="J52">
        <v>12000</v>
      </c>
      <c r="K52">
        <v>12000</v>
      </c>
      <c r="L52">
        <v>14</v>
      </c>
      <c r="M52">
        <v>60</v>
      </c>
      <c r="N52" s="2" t="s">
        <v>24</v>
      </c>
      <c r="O52" s="9" t="s">
        <v>44</v>
      </c>
      <c r="P52" s="9" t="s">
        <v>42</v>
      </c>
      <c r="Q52" s="3">
        <f t="shared" si="17"/>
        <v>200</v>
      </c>
      <c r="S52">
        <f t="shared" si="2"/>
        <v>29</v>
      </c>
      <c r="T52" s="4"/>
    </row>
    <row r="53" spans="1:20" ht="16" x14ac:dyDescent="0.2">
      <c r="A53">
        <v>2023052</v>
      </c>
      <c r="B53">
        <v>23373</v>
      </c>
      <c r="C53" t="str">
        <f t="shared" si="14"/>
        <v>ASD  Giess</v>
      </c>
      <c r="D53">
        <v>14818</v>
      </c>
      <c r="E53" t="s">
        <v>19</v>
      </c>
      <c r="F53" s="1">
        <f t="shared" si="15"/>
        <v>45135</v>
      </c>
      <c r="G53" s="1">
        <f t="shared" si="16"/>
        <v>45149</v>
      </c>
      <c r="H53" t="s">
        <v>14</v>
      </c>
      <c r="I53">
        <v>10</v>
      </c>
      <c r="J53">
        <v>12000</v>
      </c>
      <c r="K53">
        <v>12000</v>
      </c>
      <c r="L53">
        <v>14</v>
      </c>
      <c r="M53">
        <v>60</v>
      </c>
      <c r="N53" s="2" t="s">
        <v>24</v>
      </c>
      <c r="O53" s="9" t="s">
        <v>44</v>
      </c>
      <c r="P53" s="9" t="s">
        <v>42</v>
      </c>
      <c r="Q53" s="3">
        <f t="shared" si="17"/>
        <v>200</v>
      </c>
      <c r="S53">
        <f t="shared" si="2"/>
        <v>30</v>
      </c>
      <c r="T53" s="4"/>
    </row>
    <row r="54" spans="1:20" ht="16" x14ac:dyDescent="0.2">
      <c r="A54">
        <v>2023053</v>
      </c>
      <c r="B54">
        <v>23373</v>
      </c>
      <c r="C54" t="str">
        <f t="shared" si="14"/>
        <v>ASD  Giess</v>
      </c>
      <c r="D54">
        <v>14818</v>
      </c>
      <c r="E54" t="s">
        <v>19</v>
      </c>
      <c r="F54" s="1">
        <f t="shared" si="15"/>
        <v>45142</v>
      </c>
      <c r="G54" s="1">
        <f t="shared" si="16"/>
        <v>45156</v>
      </c>
      <c r="H54" t="s">
        <v>14</v>
      </c>
      <c r="I54">
        <v>10</v>
      </c>
      <c r="J54">
        <v>12000</v>
      </c>
      <c r="K54">
        <v>12000</v>
      </c>
      <c r="L54">
        <v>14</v>
      </c>
      <c r="M54">
        <v>60</v>
      </c>
      <c r="N54" s="2" t="s">
        <v>24</v>
      </c>
      <c r="O54" s="9" t="s">
        <v>44</v>
      </c>
      <c r="P54" s="9" t="s">
        <v>42</v>
      </c>
      <c r="Q54" s="3">
        <f t="shared" si="17"/>
        <v>200</v>
      </c>
      <c r="S54">
        <f t="shared" si="2"/>
        <v>31</v>
      </c>
      <c r="T54" s="4"/>
    </row>
    <row r="55" spans="1:20" ht="16" x14ac:dyDescent="0.2">
      <c r="A55">
        <v>2023054</v>
      </c>
      <c r="B55">
        <v>23373</v>
      </c>
      <c r="C55" t="str">
        <f t="shared" si="14"/>
        <v>ASD  Giess</v>
      </c>
      <c r="D55">
        <v>14818</v>
      </c>
      <c r="E55" t="s">
        <v>19</v>
      </c>
      <c r="F55" s="1">
        <f t="shared" si="15"/>
        <v>45149</v>
      </c>
      <c r="G55" s="1">
        <f t="shared" si="16"/>
        <v>45163</v>
      </c>
      <c r="H55" t="s">
        <v>14</v>
      </c>
      <c r="I55">
        <v>10</v>
      </c>
      <c r="J55">
        <v>12000</v>
      </c>
      <c r="K55">
        <v>12000</v>
      </c>
      <c r="L55">
        <v>14</v>
      </c>
      <c r="M55">
        <v>60</v>
      </c>
      <c r="N55" s="2" t="s">
        <v>24</v>
      </c>
      <c r="O55" s="9" t="s">
        <v>44</v>
      </c>
      <c r="P55" s="9" t="s">
        <v>42</v>
      </c>
      <c r="Q55" s="3">
        <f t="shared" si="17"/>
        <v>200</v>
      </c>
      <c r="S55">
        <f t="shared" si="2"/>
        <v>32</v>
      </c>
      <c r="T55" s="4"/>
    </row>
    <row r="56" spans="1:20" ht="16" x14ac:dyDescent="0.2">
      <c r="A56">
        <v>2023055</v>
      </c>
      <c r="B56">
        <v>23373</v>
      </c>
      <c r="C56" t="str">
        <f t="shared" si="14"/>
        <v>ASD  Giess</v>
      </c>
      <c r="D56">
        <v>14818</v>
      </c>
      <c r="E56" t="s">
        <v>19</v>
      </c>
      <c r="F56" s="1">
        <f t="shared" si="15"/>
        <v>45156</v>
      </c>
      <c r="G56" s="1">
        <f t="shared" si="16"/>
        <v>45170</v>
      </c>
      <c r="H56" t="s">
        <v>14</v>
      </c>
      <c r="I56">
        <v>10</v>
      </c>
      <c r="J56">
        <v>12000</v>
      </c>
      <c r="K56">
        <v>12000</v>
      </c>
      <c r="L56">
        <v>14</v>
      </c>
      <c r="M56">
        <v>60</v>
      </c>
      <c r="N56" s="2" t="s">
        <v>24</v>
      </c>
      <c r="O56" s="9" t="s">
        <v>44</v>
      </c>
      <c r="P56" s="9" t="s">
        <v>42</v>
      </c>
      <c r="Q56" s="3">
        <f t="shared" si="17"/>
        <v>200</v>
      </c>
      <c r="S56">
        <f t="shared" si="2"/>
        <v>33</v>
      </c>
      <c r="T56" s="4"/>
    </row>
    <row r="57" spans="1:20" ht="16" x14ac:dyDescent="0.2">
      <c r="A57">
        <v>2023056</v>
      </c>
      <c r="B57">
        <v>23373</v>
      </c>
      <c r="C57" t="str">
        <f t="shared" si="14"/>
        <v>ASD  Giess</v>
      </c>
      <c r="D57">
        <v>14818</v>
      </c>
      <c r="E57" t="s">
        <v>19</v>
      </c>
      <c r="F57" s="1">
        <f t="shared" si="15"/>
        <v>45163</v>
      </c>
      <c r="G57" s="1">
        <f t="shared" si="16"/>
        <v>45177</v>
      </c>
      <c r="H57" t="s">
        <v>14</v>
      </c>
      <c r="I57">
        <v>10</v>
      </c>
      <c r="J57">
        <v>12000</v>
      </c>
      <c r="K57">
        <v>12000</v>
      </c>
      <c r="L57">
        <v>14</v>
      </c>
      <c r="M57">
        <v>60</v>
      </c>
      <c r="N57" s="2" t="s">
        <v>24</v>
      </c>
      <c r="O57" s="9" t="s">
        <v>44</v>
      </c>
      <c r="P57" s="9" t="s">
        <v>42</v>
      </c>
      <c r="Q57" s="3">
        <f t="shared" si="17"/>
        <v>200</v>
      </c>
      <c r="S57">
        <f t="shared" si="2"/>
        <v>34</v>
      </c>
      <c r="T57" s="4"/>
    </row>
    <row r="58" spans="1:20" ht="16" x14ac:dyDescent="0.2">
      <c r="A58">
        <v>2023057</v>
      </c>
      <c r="B58">
        <v>23373</v>
      </c>
      <c r="C58" t="str">
        <f t="shared" si="14"/>
        <v>ASD  Giess</v>
      </c>
      <c r="D58">
        <v>14818</v>
      </c>
      <c r="E58" t="s">
        <v>19</v>
      </c>
      <c r="F58" s="1">
        <f t="shared" si="15"/>
        <v>45170</v>
      </c>
      <c r="G58" s="1">
        <f t="shared" si="16"/>
        <v>45184</v>
      </c>
      <c r="H58" t="s">
        <v>14</v>
      </c>
      <c r="I58">
        <v>10</v>
      </c>
      <c r="J58">
        <v>12000</v>
      </c>
      <c r="K58">
        <v>12000</v>
      </c>
      <c r="L58">
        <v>14</v>
      </c>
      <c r="M58">
        <v>60</v>
      </c>
      <c r="N58" s="2" t="s">
        <v>24</v>
      </c>
      <c r="O58" s="9" t="s">
        <v>44</v>
      </c>
      <c r="P58" s="9" t="s">
        <v>42</v>
      </c>
      <c r="Q58" s="3">
        <f t="shared" si="17"/>
        <v>200</v>
      </c>
      <c r="S58">
        <f t="shared" si="2"/>
        <v>35</v>
      </c>
      <c r="T58" s="4"/>
    </row>
    <row r="59" spans="1:20" ht="16" x14ac:dyDescent="0.2">
      <c r="A59">
        <v>2023058</v>
      </c>
      <c r="B59">
        <v>23373</v>
      </c>
      <c r="C59" t="str">
        <f t="shared" si="14"/>
        <v>ASD  Giess</v>
      </c>
      <c r="D59">
        <v>14818</v>
      </c>
      <c r="E59" t="s">
        <v>19</v>
      </c>
      <c r="F59" s="1">
        <f t="shared" si="15"/>
        <v>45177</v>
      </c>
      <c r="G59" s="1">
        <f t="shared" si="16"/>
        <v>45191</v>
      </c>
      <c r="H59" t="s">
        <v>14</v>
      </c>
      <c r="I59">
        <v>10</v>
      </c>
      <c r="J59">
        <v>12000</v>
      </c>
      <c r="K59">
        <v>12000</v>
      </c>
      <c r="L59">
        <v>14</v>
      </c>
      <c r="M59">
        <v>60</v>
      </c>
      <c r="N59" s="2" t="s">
        <v>24</v>
      </c>
      <c r="O59" s="9" t="s">
        <v>44</v>
      </c>
      <c r="P59" s="9" t="s">
        <v>42</v>
      </c>
      <c r="Q59" s="3">
        <f t="shared" si="17"/>
        <v>200</v>
      </c>
      <c r="S59">
        <f t="shared" si="2"/>
        <v>36</v>
      </c>
      <c r="T59" s="4"/>
    </row>
    <row r="60" spans="1:20" ht="16" x14ac:dyDescent="0.2">
      <c r="A60">
        <v>2023059</v>
      </c>
      <c r="B60">
        <v>23373</v>
      </c>
      <c r="C60" t="str">
        <f t="shared" si="14"/>
        <v>ASD  Giess</v>
      </c>
      <c r="D60">
        <v>14818</v>
      </c>
      <c r="E60" t="s">
        <v>19</v>
      </c>
      <c r="F60" s="1">
        <f t="shared" si="15"/>
        <v>45184</v>
      </c>
      <c r="G60" s="1">
        <f t="shared" si="16"/>
        <v>45198</v>
      </c>
      <c r="H60" t="s">
        <v>14</v>
      </c>
      <c r="I60">
        <v>10</v>
      </c>
      <c r="J60">
        <v>12000</v>
      </c>
      <c r="K60">
        <v>12000</v>
      </c>
      <c r="L60">
        <v>14</v>
      </c>
      <c r="M60">
        <v>60</v>
      </c>
      <c r="N60" s="2" t="s">
        <v>24</v>
      </c>
      <c r="O60" s="9" t="s">
        <v>44</v>
      </c>
      <c r="P60" s="9" t="s">
        <v>42</v>
      </c>
      <c r="Q60" s="3">
        <f t="shared" si="17"/>
        <v>200</v>
      </c>
      <c r="S60">
        <f t="shared" si="2"/>
        <v>37</v>
      </c>
      <c r="T60" s="4"/>
    </row>
    <row r="61" spans="1:20" ht="16" x14ac:dyDescent="0.2">
      <c r="A61">
        <v>2023060</v>
      </c>
      <c r="B61">
        <v>23373</v>
      </c>
      <c r="C61" t="str">
        <f t="shared" si="14"/>
        <v>ASD  Giess</v>
      </c>
      <c r="D61">
        <v>14818</v>
      </c>
      <c r="E61" t="s">
        <v>19</v>
      </c>
      <c r="F61" s="1">
        <f t="shared" si="15"/>
        <v>45191</v>
      </c>
      <c r="G61" s="1">
        <f t="shared" si="16"/>
        <v>45205</v>
      </c>
      <c r="H61" t="s">
        <v>14</v>
      </c>
      <c r="I61">
        <v>10</v>
      </c>
      <c r="J61">
        <v>12000</v>
      </c>
      <c r="K61">
        <v>12000</v>
      </c>
      <c r="L61">
        <v>14</v>
      </c>
      <c r="M61">
        <v>60</v>
      </c>
      <c r="N61" s="2" t="s">
        <v>24</v>
      </c>
      <c r="O61" s="9" t="s">
        <v>44</v>
      </c>
      <c r="P61" s="9" t="s">
        <v>42</v>
      </c>
      <c r="Q61" s="3">
        <f t="shared" si="17"/>
        <v>200</v>
      </c>
      <c r="S61">
        <f t="shared" si="2"/>
        <v>38</v>
      </c>
      <c r="T61" s="4"/>
    </row>
    <row r="62" spans="1:20" ht="16" x14ac:dyDescent="0.2">
      <c r="A62">
        <v>2023061</v>
      </c>
      <c r="B62">
        <v>23373</v>
      </c>
      <c r="C62" t="str">
        <f t="shared" si="14"/>
        <v>ASD  Giess</v>
      </c>
      <c r="D62">
        <v>14818</v>
      </c>
      <c r="E62" t="s">
        <v>19</v>
      </c>
      <c r="F62" s="1">
        <f t="shared" si="15"/>
        <v>45198</v>
      </c>
      <c r="G62" s="1">
        <f t="shared" si="16"/>
        <v>45212</v>
      </c>
      <c r="H62" t="s">
        <v>14</v>
      </c>
      <c r="I62">
        <v>10</v>
      </c>
      <c r="J62">
        <v>12000</v>
      </c>
      <c r="K62">
        <v>12000</v>
      </c>
      <c r="L62">
        <v>14</v>
      </c>
      <c r="M62">
        <v>60</v>
      </c>
      <c r="N62" s="2" t="s">
        <v>24</v>
      </c>
      <c r="O62" s="9" t="s">
        <v>44</v>
      </c>
      <c r="P62" s="9" t="s">
        <v>42</v>
      </c>
      <c r="Q62" s="3">
        <f t="shared" si="17"/>
        <v>200</v>
      </c>
      <c r="S62">
        <f t="shared" si="2"/>
        <v>39</v>
      </c>
      <c r="T62" s="4"/>
    </row>
    <row r="63" spans="1:20" ht="16" x14ac:dyDescent="0.2">
      <c r="A63">
        <v>2023062</v>
      </c>
      <c r="B63">
        <v>23373</v>
      </c>
      <c r="C63" t="str">
        <f t="shared" si="14"/>
        <v>ASD  Giess</v>
      </c>
      <c r="D63">
        <v>14818</v>
      </c>
      <c r="E63" t="s">
        <v>19</v>
      </c>
      <c r="F63" s="1">
        <f t="shared" si="15"/>
        <v>45205</v>
      </c>
      <c r="G63" s="1">
        <f t="shared" si="16"/>
        <v>45219</v>
      </c>
      <c r="H63" t="s">
        <v>14</v>
      </c>
      <c r="I63">
        <v>10</v>
      </c>
      <c r="J63">
        <v>12000</v>
      </c>
      <c r="K63">
        <v>12000</v>
      </c>
      <c r="L63">
        <v>14</v>
      </c>
      <c r="M63">
        <v>60</v>
      </c>
      <c r="N63" s="2" t="s">
        <v>24</v>
      </c>
      <c r="O63" s="9" t="s">
        <v>44</v>
      </c>
      <c r="P63" s="9" t="s">
        <v>42</v>
      </c>
      <c r="Q63" s="3">
        <f t="shared" si="17"/>
        <v>200</v>
      </c>
      <c r="S63">
        <f t="shared" si="2"/>
        <v>40</v>
      </c>
      <c r="T63" s="4"/>
    </row>
    <row r="64" spans="1:20" ht="16" x14ac:dyDescent="0.2">
      <c r="A64">
        <v>2023063</v>
      </c>
      <c r="B64">
        <v>23373</v>
      </c>
      <c r="C64" t="str">
        <f t="shared" si="14"/>
        <v>ASD  Giess</v>
      </c>
      <c r="D64">
        <v>14818</v>
      </c>
      <c r="E64" t="s">
        <v>19</v>
      </c>
      <c r="F64" s="1">
        <f t="shared" si="15"/>
        <v>45212</v>
      </c>
      <c r="G64" s="1">
        <f t="shared" si="16"/>
        <v>45226</v>
      </c>
      <c r="H64" t="s">
        <v>14</v>
      </c>
      <c r="I64">
        <v>10</v>
      </c>
      <c r="J64">
        <v>12000</v>
      </c>
      <c r="K64">
        <v>12000</v>
      </c>
      <c r="L64">
        <v>14</v>
      </c>
      <c r="M64">
        <v>60</v>
      </c>
      <c r="N64" s="2" t="s">
        <v>24</v>
      </c>
      <c r="O64" s="9" t="s">
        <v>44</v>
      </c>
      <c r="P64" s="9" t="s">
        <v>42</v>
      </c>
      <c r="Q64" s="3">
        <f t="shared" si="17"/>
        <v>200</v>
      </c>
      <c r="S64">
        <f t="shared" si="2"/>
        <v>41</v>
      </c>
      <c r="T64" s="4"/>
    </row>
    <row r="65" spans="1:20" ht="16" x14ac:dyDescent="0.2">
      <c r="A65">
        <v>2023064</v>
      </c>
      <c r="B65">
        <v>23255</v>
      </c>
      <c r="C65" t="str">
        <f>E65&amp;"  Giess"</f>
        <v>Halter  Giess</v>
      </c>
      <c r="D65">
        <v>14698</v>
      </c>
      <c r="E65" t="s">
        <v>20</v>
      </c>
      <c r="F65" s="1">
        <f t="shared" ref="F65" si="18">+G65-L65</f>
        <v>45072</v>
      </c>
      <c r="G65" s="1">
        <v>45086</v>
      </c>
      <c r="H65" t="s">
        <v>14</v>
      </c>
      <c r="I65">
        <v>10</v>
      </c>
      <c r="J65">
        <v>1500</v>
      </c>
      <c r="K65">
        <v>1500</v>
      </c>
      <c r="L65">
        <v>14</v>
      </c>
      <c r="M65">
        <v>60</v>
      </c>
      <c r="N65" s="2" t="s">
        <v>25</v>
      </c>
      <c r="O65" s="9" t="s">
        <v>45</v>
      </c>
      <c r="P65" s="9" t="s">
        <v>40</v>
      </c>
      <c r="Q65" s="3">
        <f t="shared" si="1"/>
        <v>25</v>
      </c>
      <c r="S65">
        <f t="shared" si="2"/>
        <v>21</v>
      </c>
      <c r="T65" s="4"/>
    </row>
    <row r="66" spans="1:20" ht="16" x14ac:dyDescent="0.2">
      <c r="A66">
        <v>2023065</v>
      </c>
      <c r="B66">
        <v>23255</v>
      </c>
      <c r="C66" t="str">
        <f>E66&amp;"  Giess"</f>
        <v>Halter  Giess</v>
      </c>
      <c r="D66">
        <v>14698</v>
      </c>
      <c r="E66" t="s">
        <v>20</v>
      </c>
      <c r="F66" s="1">
        <f t="shared" ref="F66:F67" si="19">+G66-L66</f>
        <v>45079</v>
      </c>
      <c r="G66" s="1">
        <f>+G65+7</f>
        <v>45093</v>
      </c>
      <c r="H66" t="s">
        <v>14</v>
      </c>
      <c r="I66">
        <v>10</v>
      </c>
      <c r="J66">
        <v>1500</v>
      </c>
      <c r="K66">
        <v>1500</v>
      </c>
      <c r="L66">
        <v>14</v>
      </c>
      <c r="M66">
        <v>60</v>
      </c>
      <c r="N66" s="2" t="s">
        <v>25</v>
      </c>
      <c r="O66" s="9" t="s">
        <v>45</v>
      </c>
      <c r="P66" s="9" t="s">
        <v>40</v>
      </c>
      <c r="Q66" s="3">
        <f t="shared" ref="Q66:Q67" si="20">+M66*J66/3600</f>
        <v>25</v>
      </c>
      <c r="S66">
        <f t="shared" si="2"/>
        <v>22</v>
      </c>
      <c r="T66" s="4"/>
    </row>
    <row r="67" spans="1:20" ht="16" x14ac:dyDescent="0.2">
      <c r="A67">
        <v>2023066</v>
      </c>
      <c r="B67">
        <v>23255</v>
      </c>
      <c r="C67" t="str">
        <f t="shared" ref="C67:C85" si="21">E67&amp;"  Giess"</f>
        <v>Halter  Giess</v>
      </c>
      <c r="D67">
        <v>14698</v>
      </c>
      <c r="E67" t="s">
        <v>20</v>
      </c>
      <c r="F67" s="1">
        <f t="shared" si="19"/>
        <v>45086</v>
      </c>
      <c r="G67" s="1">
        <f t="shared" ref="G67:G85" si="22">+G66+7</f>
        <v>45100</v>
      </c>
      <c r="H67" t="s">
        <v>14</v>
      </c>
      <c r="I67">
        <v>10</v>
      </c>
      <c r="J67">
        <v>1500</v>
      </c>
      <c r="K67">
        <v>1500</v>
      </c>
      <c r="L67">
        <v>14</v>
      </c>
      <c r="M67">
        <v>60</v>
      </c>
      <c r="N67" s="2" t="s">
        <v>25</v>
      </c>
      <c r="O67" s="9" t="s">
        <v>45</v>
      </c>
      <c r="P67" s="9" t="s">
        <v>40</v>
      </c>
      <c r="Q67" s="3">
        <f t="shared" si="20"/>
        <v>25</v>
      </c>
      <c r="S67">
        <f t="shared" ref="S67:S127" si="23">WEEKNUM(F67)</f>
        <v>23</v>
      </c>
      <c r="T67" s="4"/>
    </row>
    <row r="68" spans="1:20" ht="16" x14ac:dyDescent="0.2">
      <c r="A68">
        <v>2023067</v>
      </c>
      <c r="B68">
        <v>23255</v>
      </c>
      <c r="C68" t="str">
        <f t="shared" si="21"/>
        <v>Halter  Giess</v>
      </c>
      <c r="D68">
        <v>14698</v>
      </c>
      <c r="E68" t="s">
        <v>20</v>
      </c>
      <c r="F68" s="1">
        <f t="shared" ref="F68:F85" si="24">+G68-L68</f>
        <v>45093</v>
      </c>
      <c r="G68" s="1">
        <f t="shared" si="22"/>
        <v>45107</v>
      </c>
      <c r="H68" t="s">
        <v>14</v>
      </c>
      <c r="I68">
        <v>10</v>
      </c>
      <c r="J68">
        <v>1500</v>
      </c>
      <c r="K68">
        <v>1500</v>
      </c>
      <c r="L68">
        <v>14</v>
      </c>
      <c r="M68">
        <v>60</v>
      </c>
      <c r="N68" s="2" t="s">
        <v>25</v>
      </c>
      <c r="O68" s="9" t="s">
        <v>45</v>
      </c>
      <c r="P68" s="9" t="s">
        <v>40</v>
      </c>
      <c r="Q68" s="3">
        <f t="shared" ref="Q68:Q85" si="25">+M68*J68/3600</f>
        <v>25</v>
      </c>
      <c r="S68">
        <f t="shared" si="23"/>
        <v>24</v>
      </c>
      <c r="T68" s="4"/>
    </row>
    <row r="69" spans="1:20" ht="16" x14ac:dyDescent="0.2">
      <c r="A69">
        <v>2023068</v>
      </c>
      <c r="B69">
        <v>23255</v>
      </c>
      <c r="C69" t="str">
        <f t="shared" si="21"/>
        <v>Halter  Giess</v>
      </c>
      <c r="D69">
        <v>14698</v>
      </c>
      <c r="E69" t="s">
        <v>20</v>
      </c>
      <c r="F69" s="1">
        <f t="shared" si="24"/>
        <v>45100</v>
      </c>
      <c r="G69" s="1">
        <f t="shared" si="22"/>
        <v>45114</v>
      </c>
      <c r="H69" t="s">
        <v>14</v>
      </c>
      <c r="I69">
        <v>10</v>
      </c>
      <c r="J69">
        <v>1500</v>
      </c>
      <c r="K69">
        <v>1500</v>
      </c>
      <c r="L69">
        <v>14</v>
      </c>
      <c r="M69">
        <v>60</v>
      </c>
      <c r="N69" s="2" t="s">
        <v>25</v>
      </c>
      <c r="O69" s="9" t="s">
        <v>45</v>
      </c>
      <c r="P69" s="9" t="s">
        <v>40</v>
      </c>
      <c r="Q69" s="3">
        <f t="shared" si="25"/>
        <v>25</v>
      </c>
      <c r="S69">
        <f t="shared" si="23"/>
        <v>25</v>
      </c>
      <c r="T69" s="4"/>
    </row>
    <row r="70" spans="1:20" ht="16" x14ac:dyDescent="0.2">
      <c r="A70">
        <v>2023069</v>
      </c>
      <c r="B70">
        <v>23255</v>
      </c>
      <c r="C70" t="str">
        <f t="shared" si="21"/>
        <v>Halter  Giess</v>
      </c>
      <c r="D70">
        <v>14698</v>
      </c>
      <c r="E70" t="s">
        <v>20</v>
      </c>
      <c r="F70" s="1">
        <f t="shared" si="24"/>
        <v>45107</v>
      </c>
      <c r="G70" s="1">
        <f t="shared" si="22"/>
        <v>45121</v>
      </c>
      <c r="H70" t="s">
        <v>14</v>
      </c>
      <c r="I70">
        <v>10</v>
      </c>
      <c r="J70">
        <v>1500</v>
      </c>
      <c r="K70">
        <v>1500</v>
      </c>
      <c r="L70">
        <v>14</v>
      </c>
      <c r="M70">
        <v>60</v>
      </c>
      <c r="N70" s="2" t="s">
        <v>25</v>
      </c>
      <c r="O70" s="9" t="s">
        <v>45</v>
      </c>
      <c r="P70" s="9" t="s">
        <v>40</v>
      </c>
      <c r="Q70" s="3">
        <f t="shared" si="25"/>
        <v>25</v>
      </c>
      <c r="S70">
        <f t="shared" si="23"/>
        <v>26</v>
      </c>
      <c r="T70" s="4"/>
    </row>
    <row r="71" spans="1:20" ht="16" x14ac:dyDescent="0.2">
      <c r="A71">
        <v>2023070</v>
      </c>
      <c r="B71">
        <v>23255</v>
      </c>
      <c r="C71" t="str">
        <f t="shared" si="21"/>
        <v>Halter  Giess</v>
      </c>
      <c r="D71">
        <v>14698</v>
      </c>
      <c r="E71" t="s">
        <v>20</v>
      </c>
      <c r="F71" s="1">
        <f t="shared" si="24"/>
        <v>45114</v>
      </c>
      <c r="G71" s="1">
        <f t="shared" si="22"/>
        <v>45128</v>
      </c>
      <c r="H71" t="s">
        <v>14</v>
      </c>
      <c r="I71">
        <v>10</v>
      </c>
      <c r="J71">
        <v>1500</v>
      </c>
      <c r="K71">
        <v>1500</v>
      </c>
      <c r="L71">
        <v>14</v>
      </c>
      <c r="M71">
        <v>60</v>
      </c>
      <c r="N71" s="2" t="s">
        <v>25</v>
      </c>
      <c r="O71" s="9" t="s">
        <v>45</v>
      </c>
      <c r="P71" s="9" t="s">
        <v>40</v>
      </c>
      <c r="Q71" s="3">
        <f t="shared" si="25"/>
        <v>25</v>
      </c>
      <c r="S71">
        <f t="shared" si="23"/>
        <v>27</v>
      </c>
      <c r="T71" s="4"/>
    </row>
    <row r="72" spans="1:20" ht="16" x14ac:dyDescent="0.2">
      <c r="A72">
        <v>2023071</v>
      </c>
      <c r="B72">
        <v>23255</v>
      </c>
      <c r="C72" t="str">
        <f t="shared" si="21"/>
        <v>Halter  Giess</v>
      </c>
      <c r="D72">
        <v>14698</v>
      </c>
      <c r="E72" t="s">
        <v>20</v>
      </c>
      <c r="F72" s="1">
        <f t="shared" si="24"/>
        <v>45121</v>
      </c>
      <c r="G72" s="1">
        <f t="shared" si="22"/>
        <v>45135</v>
      </c>
      <c r="H72" t="s">
        <v>14</v>
      </c>
      <c r="I72">
        <v>10</v>
      </c>
      <c r="J72">
        <v>1500</v>
      </c>
      <c r="K72">
        <v>1500</v>
      </c>
      <c r="L72">
        <v>14</v>
      </c>
      <c r="M72">
        <v>60</v>
      </c>
      <c r="N72" s="2" t="s">
        <v>25</v>
      </c>
      <c r="O72" s="9" t="s">
        <v>45</v>
      </c>
      <c r="P72" s="9" t="s">
        <v>40</v>
      </c>
      <c r="Q72" s="3">
        <f t="shared" si="25"/>
        <v>25</v>
      </c>
      <c r="S72">
        <f t="shared" si="23"/>
        <v>28</v>
      </c>
      <c r="T72" s="4"/>
    </row>
    <row r="73" spans="1:20" ht="16" x14ac:dyDescent="0.2">
      <c r="A73">
        <v>2023072</v>
      </c>
      <c r="B73">
        <v>23255</v>
      </c>
      <c r="C73" t="str">
        <f t="shared" si="21"/>
        <v>Halter  Giess</v>
      </c>
      <c r="D73">
        <v>14698</v>
      </c>
      <c r="E73" t="s">
        <v>20</v>
      </c>
      <c r="F73" s="1">
        <f t="shared" si="24"/>
        <v>45128</v>
      </c>
      <c r="G73" s="1">
        <f t="shared" si="22"/>
        <v>45142</v>
      </c>
      <c r="H73" t="s">
        <v>14</v>
      </c>
      <c r="I73">
        <v>10</v>
      </c>
      <c r="J73">
        <v>1500</v>
      </c>
      <c r="K73">
        <v>1500</v>
      </c>
      <c r="L73">
        <v>14</v>
      </c>
      <c r="M73">
        <v>60</v>
      </c>
      <c r="N73" s="2" t="s">
        <v>25</v>
      </c>
      <c r="O73" s="9" t="s">
        <v>45</v>
      </c>
      <c r="P73" s="9" t="s">
        <v>40</v>
      </c>
      <c r="Q73" s="3">
        <f t="shared" si="25"/>
        <v>25</v>
      </c>
      <c r="S73">
        <f t="shared" si="23"/>
        <v>29</v>
      </c>
      <c r="T73" s="4"/>
    </row>
    <row r="74" spans="1:20" ht="16" x14ac:dyDescent="0.2">
      <c r="A74">
        <v>2023073</v>
      </c>
      <c r="B74">
        <v>23255</v>
      </c>
      <c r="C74" t="str">
        <f t="shared" si="21"/>
        <v>Halter  Giess</v>
      </c>
      <c r="D74">
        <v>14698</v>
      </c>
      <c r="E74" t="s">
        <v>20</v>
      </c>
      <c r="F74" s="1">
        <f t="shared" si="24"/>
        <v>45135</v>
      </c>
      <c r="G74" s="1">
        <f t="shared" si="22"/>
        <v>45149</v>
      </c>
      <c r="H74" t="s">
        <v>14</v>
      </c>
      <c r="I74">
        <v>10</v>
      </c>
      <c r="J74">
        <v>1500</v>
      </c>
      <c r="K74">
        <v>1500</v>
      </c>
      <c r="L74">
        <v>14</v>
      </c>
      <c r="M74">
        <v>60</v>
      </c>
      <c r="N74" s="2" t="s">
        <v>25</v>
      </c>
      <c r="O74" s="9" t="s">
        <v>45</v>
      </c>
      <c r="P74" s="9" t="s">
        <v>40</v>
      </c>
      <c r="Q74" s="3">
        <f t="shared" si="25"/>
        <v>25</v>
      </c>
      <c r="S74">
        <f t="shared" si="23"/>
        <v>30</v>
      </c>
      <c r="T74" s="4"/>
    </row>
    <row r="75" spans="1:20" ht="16" x14ac:dyDescent="0.2">
      <c r="A75">
        <v>2023074</v>
      </c>
      <c r="B75">
        <v>23255</v>
      </c>
      <c r="C75" t="str">
        <f t="shared" si="21"/>
        <v>Halter  Giess</v>
      </c>
      <c r="D75">
        <v>14698</v>
      </c>
      <c r="E75" t="s">
        <v>20</v>
      </c>
      <c r="F75" s="1">
        <f t="shared" si="24"/>
        <v>45142</v>
      </c>
      <c r="G75" s="1">
        <f t="shared" si="22"/>
        <v>45156</v>
      </c>
      <c r="H75" t="s">
        <v>14</v>
      </c>
      <c r="I75">
        <v>10</v>
      </c>
      <c r="J75">
        <v>1500</v>
      </c>
      <c r="K75">
        <v>1500</v>
      </c>
      <c r="L75">
        <v>14</v>
      </c>
      <c r="M75">
        <v>60</v>
      </c>
      <c r="N75" s="2" t="s">
        <v>25</v>
      </c>
      <c r="O75" s="9" t="s">
        <v>45</v>
      </c>
      <c r="P75" s="9" t="s">
        <v>40</v>
      </c>
      <c r="Q75" s="3">
        <f t="shared" si="25"/>
        <v>25</v>
      </c>
      <c r="S75">
        <f t="shared" si="23"/>
        <v>31</v>
      </c>
      <c r="T75" s="4"/>
    </row>
    <row r="76" spans="1:20" ht="16" x14ac:dyDescent="0.2">
      <c r="A76">
        <v>2023075</v>
      </c>
      <c r="B76">
        <v>23255</v>
      </c>
      <c r="C76" t="str">
        <f t="shared" si="21"/>
        <v>Halter  Giess</v>
      </c>
      <c r="D76">
        <v>14698</v>
      </c>
      <c r="E76" t="s">
        <v>20</v>
      </c>
      <c r="F76" s="1">
        <f t="shared" si="24"/>
        <v>45149</v>
      </c>
      <c r="G76" s="1">
        <f t="shared" si="22"/>
        <v>45163</v>
      </c>
      <c r="H76" t="s">
        <v>14</v>
      </c>
      <c r="I76">
        <v>10</v>
      </c>
      <c r="J76">
        <v>1500</v>
      </c>
      <c r="K76">
        <v>1500</v>
      </c>
      <c r="L76">
        <v>14</v>
      </c>
      <c r="M76">
        <v>60</v>
      </c>
      <c r="N76" s="2" t="s">
        <v>25</v>
      </c>
      <c r="O76" s="9" t="s">
        <v>45</v>
      </c>
      <c r="P76" s="9" t="s">
        <v>40</v>
      </c>
      <c r="Q76" s="3">
        <f t="shared" si="25"/>
        <v>25</v>
      </c>
      <c r="S76">
        <f t="shared" si="23"/>
        <v>32</v>
      </c>
      <c r="T76" s="4"/>
    </row>
    <row r="77" spans="1:20" ht="16" x14ac:dyDescent="0.2">
      <c r="A77">
        <v>2023076</v>
      </c>
      <c r="B77">
        <v>23255</v>
      </c>
      <c r="C77" t="str">
        <f t="shared" si="21"/>
        <v>Halter  Giess</v>
      </c>
      <c r="D77">
        <v>14698</v>
      </c>
      <c r="E77" t="s">
        <v>20</v>
      </c>
      <c r="F77" s="1">
        <f t="shared" si="24"/>
        <v>45156</v>
      </c>
      <c r="G77" s="1">
        <f t="shared" si="22"/>
        <v>45170</v>
      </c>
      <c r="H77" t="s">
        <v>14</v>
      </c>
      <c r="I77">
        <v>10</v>
      </c>
      <c r="J77">
        <v>1500</v>
      </c>
      <c r="K77">
        <v>1500</v>
      </c>
      <c r="L77">
        <v>14</v>
      </c>
      <c r="M77">
        <v>60</v>
      </c>
      <c r="N77" s="2" t="s">
        <v>25</v>
      </c>
      <c r="O77" s="9" t="s">
        <v>45</v>
      </c>
      <c r="P77" s="9" t="s">
        <v>40</v>
      </c>
      <c r="Q77" s="3">
        <f t="shared" si="25"/>
        <v>25</v>
      </c>
      <c r="S77">
        <f t="shared" si="23"/>
        <v>33</v>
      </c>
      <c r="T77" s="4"/>
    </row>
    <row r="78" spans="1:20" ht="16" x14ac:dyDescent="0.2">
      <c r="A78">
        <v>2023077</v>
      </c>
      <c r="B78">
        <v>23255</v>
      </c>
      <c r="C78" t="str">
        <f t="shared" si="21"/>
        <v>Halter  Giess</v>
      </c>
      <c r="D78">
        <v>14698</v>
      </c>
      <c r="E78" t="s">
        <v>20</v>
      </c>
      <c r="F78" s="1">
        <f t="shared" si="24"/>
        <v>45163</v>
      </c>
      <c r="G78" s="1">
        <f t="shared" si="22"/>
        <v>45177</v>
      </c>
      <c r="H78" t="s">
        <v>14</v>
      </c>
      <c r="I78">
        <v>10</v>
      </c>
      <c r="J78">
        <v>1500</v>
      </c>
      <c r="K78">
        <v>1500</v>
      </c>
      <c r="L78">
        <v>14</v>
      </c>
      <c r="M78">
        <v>60</v>
      </c>
      <c r="N78" s="2" t="s">
        <v>25</v>
      </c>
      <c r="O78" s="9" t="s">
        <v>45</v>
      </c>
      <c r="P78" s="9" t="s">
        <v>40</v>
      </c>
      <c r="Q78" s="3">
        <f t="shared" si="25"/>
        <v>25</v>
      </c>
      <c r="S78">
        <f t="shared" si="23"/>
        <v>34</v>
      </c>
      <c r="T78" s="4"/>
    </row>
    <row r="79" spans="1:20" ht="16" x14ac:dyDescent="0.2">
      <c r="A79">
        <v>2023078</v>
      </c>
      <c r="B79">
        <v>23255</v>
      </c>
      <c r="C79" t="str">
        <f t="shared" si="21"/>
        <v>Halter  Giess</v>
      </c>
      <c r="D79">
        <v>14698</v>
      </c>
      <c r="E79" t="s">
        <v>20</v>
      </c>
      <c r="F79" s="1">
        <f t="shared" si="24"/>
        <v>45170</v>
      </c>
      <c r="G79" s="1">
        <f t="shared" si="22"/>
        <v>45184</v>
      </c>
      <c r="H79" t="s">
        <v>14</v>
      </c>
      <c r="I79">
        <v>10</v>
      </c>
      <c r="J79">
        <v>1500</v>
      </c>
      <c r="K79">
        <v>1500</v>
      </c>
      <c r="L79">
        <v>14</v>
      </c>
      <c r="M79">
        <v>60</v>
      </c>
      <c r="N79" s="2" t="s">
        <v>25</v>
      </c>
      <c r="O79" s="9" t="s">
        <v>45</v>
      </c>
      <c r="P79" s="9" t="s">
        <v>40</v>
      </c>
      <c r="Q79" s="3">
        <f t="shared" si="25"/>
        <v>25</v>
      </c>
      <c r="S79">
        <f t="shared" si="23"/>
        <v>35</v>
      </c>
      <c r="T79" s="4"/>
    </row>
    <row r="80" spans="1:20" ht="16" x14ac:dyDescent="0.2">
      <c r="A80">
        <v>2023079</v>
      </c>
      <c r="B80">
        <v>23255</v>
      </c>
      <c r="C80" t="str">
        <f t="shared" si="21"/>
        <v>Halter  Giess</v>
      </c>
      <c r="D80">
        <v>14698</v>
      </c>
      <c r="E80" t="s">
        <v>20</v>
      </c>
      <c r="F80" s="1">
        <f t="shared" si="24"/>
        <v>45177</v>
      </c>
      <c r="G80" s="1">
        <f t="shared" si="22"/>
        <v>45191</v>
      </c>
      <c r="H80" t="s">
        <v>14</v>
      </c>
      <c r="I80">
        <v>10</v>
      </c>
      <c r="J80">
        <v>1500</v>
      </c>
      <c r="K80">
        <v>1500</v>
      </c>
      <c r="L80">
        <v>14</v>
      </c>
      <c r="M80">
        <v>60</v>
      </c>
      <c r="N80" s="2" t="s">
        <v>25</v>
      </c>
      <c r="O80" s="9" t="s">
        <v>45</v>
      </c>
      <c r="P80" s="9" t="s">
        <v>40</v>
      </c>
      <c r="Q80" s="3">
        <f t="shared" si="25"/>
        <v>25</v>
      </c>
      <c r="S80">
        <f t="shared" si="23"/>
        <v>36</v>
      </c>
      <c r="T80" s="4"/>
    </row>
    <row r="81" spans="1:20" ht="16" x14ac:dyDescent="0.2">
      <c r="A81">
        <v>2023080</v>
      </c>
      <c r="B81">
        <v>23255</v>
      </c>
      <c r="C81" t="str">
        <f t="shared" si="21"/>
        <v>Halter  Giess</v>
      </c>
      <c r="D81">
        <v>14698</v>
      </c>
      <c r="E81" t="s">
        <v>20</v>
      </c>
      <c r="F81" s="1">
        <f t="shared" si="24"/>
        <v>45184</v>
      </c>
      <c r="G81" s="1">
        <f t="shared" si="22"/>
        <v>45198</v>
      </c>
      <c r="H81" t="s">
        <v>14</v>
      </c>
      <c r="I81">
        <v>10</v>
      </c>
      <c r="J81">
        <v>1500</v>
      </c>
      <c r="K81">
        <v>1500</v>
      </c>
      <c r="L81">
        <v>14</v>
      </c>
      <c r="M81">
        <v>60</v>
      </c>
      <c r="N81" s="2" t="s">
        <v>25</v>
      </c>
      <c r="O81" s="9" t="s">
        <v>45</v>
      </c>
      <c r="P81" s="9" t="s">
        <v>40</v>
      </c>
      <c r="Q81" s="3">
        <f t="shared" si="25"/>
        <v>25</v>
      </c>
      <c r="S81">
        <f t="shared" si="23"/>
        <v>37</v>
      </c>
      <c r="T81" s="4"/>
    </row>
    <row r="82" spans="1:20" ht="16" x14ac:dyDescent="0.2">
      <c r="A82">
        <v>2023081</v>
      </c>
      <c r="B82">
        <v>23255</v>
      </c>
      <c r="C82" t="str">
        <f t="shared" si="21"/>
        <v>Halter  Giess</v>
      </c>
      <c r="D82">
        <v>14698</v>
      </c>
      <c r="E82" t="s">
        <v>20</v>
      </c>
      <c r="F82" s="1">
        <f t="shared" si="24"/>
        <v>45191</v>
      </c>
      <c r="G82" s="1">
        <f t="shared" si="22"/>
        <v>45205</v>
      </c>
      <c r="H82" t="s">
        <v>14</v>
      </c>
      <c r="I82">
        <v>10</v>
      </c>
      <c r="J82">
        <v>1500</v>
      </c>
      <c r="K82">
        <v>1500</v>
      </c>
      <c r="L82">
        <v>14</v>
      </c>
      <c r="M82">
        <v>60</v>
      </c>
      <c r="N82" s="2" t="s">
        <v>25</v>
      </c>
      <c r="O82" s="9" t="s">
        <v>45</v>
      </c>
      <c r="P82" s="9" t="s">
        <v>40</v>
      </c>
      <c r="Q82" s="3">
        <f t="shared" si="25"/>
        <v>25</v>
      </c>
      <c r="S82">
        <f t="shared" si="23"/>
        <v>38</v>
      </c>
      <c r="T82" s="4"/>
    </row>
    <row r="83" spans="1:20" ht="16" x14ac:dyDescent="0.2">
      <c r="A83">
        <v>2023082</v>
      </c>
      <c r="B83">
        <v>23255</v>
      </c>
      <c r="C83" t="str">
        <f t="shared" si="21"/>
        <v>Halter  Giess</v>
      </c>
      <c r="D83">
        <v>14698</v>
      </c>
      <c r="E83" t="s">
        <v>20</v>
      </c>
      <c r="F83" s="1">
        <f t="shared" si="24"/>
        <v>45198</v>
      </c>
      <c r="G83" s="1">
        <f t="shared" si="22"/>
        <v>45212</v>
      </c>
      <c r="H83" t="s">
        <v>14</v>
      </c>
      <c r="I83">
        <v>10</v>
      </c>
      <c r="J83">
        <v>1500</v>
      </c>
      <c r="K83">
        <v>1500</v>
      </c>
      <c r="L83">
        <v>14</v>
      </c>
      <c r="M83">
        <v>60</v>
      </c>
      <c r="N83" s="2" t="s">
        <v>25</v>
      </c>
      <c r="O83" s="9" t="s">
        <v>45</v>
      </c>
      <c r="P83" s="9" t="s">
        <v>40</v>
      </c>
      <c r="Q83" s="3">
        <f t="shared" si="25"/>
        <v>25</v>
      </c>
      <c r="S83">
        <f t="shared" si="23"/>
        <v>39</v>
      </c>
      <c r="T83" s="4"/>
    </row>
    <row r="84" spans="1:20" ht="16" x14ac:dyDescent="0.2">
      <c r="A84">
        <v>2023083</v>
      </c>
      <c r="B84">
        <v>23255</v>
      </c>
      <c r="C84" t="str">
        <f t="shared" si="21"/>
        <v>Halter  Giess</v>
      </c>
      <c r="D84">
        <v>14698</v>
      </c>
      <c r="E84" t="s">
        <v>20</v>
      </c>
      <c r="F84" s="1">
        <f t="shared" si="24"/>
        <v>45205</v>
      </c>
      <c r="G84" s="1">
        <f t="shared" si="22"/>
        <v>45219</v>
      </c>
      <c r="H84" t="s">
        <v>14</v>
      </c>
      <c r="I84">
        <v>10</v>
      </c>
      <c r="J84">
        <v>1500</v>
      </c>
      <c r="K84">
        <v>1500</v>
      </c>
      <c r="L84">
        <v>14</v>
      </c>
      <c r="M84">
        <v>60</v>
      </c>
      <c r="N84" s="2" t="s">
        <v>25</v>
      </c>
      <c r="O84" s="9" t="s">
        <v>45</v>
      </c>
      <c r="P84" s="9" t="s">
        <v>40</v>
      </c>
      <c r="Q84" s="3">
        <f t="shared" si="25"/>
        <v>25</v>
      </c>
      <c r="S84">
        <f t="shared" si="23"/>
        <v>40</v>
      </c>
      <c r="T84" s="4"/>
    </row>
    <row r="85" spans="1:20" ht="16" x14ac:dyDescent="0.2">
      <c r="A85">
        <v>2023084</v>
      </c>
      <c r="B85">
        <v>23255</v>
      </c>
      <c r="C85" t="str">
        <f t="shared" si="21"/>
        <v>Halter  Giess</v>
      </c>
      <c r="D85">
        <v>14698</v>
      </c>
      <c r="E85" t="s">
        <v>20</v>
      </c>
      <c r="F85" s="1">
        <f t="shared" si="24"/>
        <v>45212</v>
      </c>
      <c r="G85" s="1">
        <f t="shared" si="22"/>
        <v>45226</v>
      </c>
      <c r="H85" t="s">
        <v>14</v>
      </c>
      <c r="I85">
        <v>10</v>
      </c>
      <c r="J85">
        <v>1500</v>
      </c>
      <c r="K85">
        <v>1500</v>
      </c>
      <c r="L85">
        <v>14</v>
      </c>
      <c r="M85">
        <v>60</v>
      </c>
      <c r="N85" s="2" t="s">
        <v>25</v>
      </c>
      <c r="O85" s="9" t="s">
        <v>45</v>
      </c>
      <c r="P85" s="9" t="s">
        <v>40</v>
      </c>
      <c r="Q85" s="3">
        <f t="shared" si="25"/>
        <v>25</v>
      </c>
      <c r="S85">
        <f t="shared" si="23"/>
        <v>41</v>
      </c>
      <c r="T85" s="4"/>
    </row>
    <row r="86" spans="1:20" ht="16" x14ac:dyDescent="0.2">
      <c r="A86">
        <v>2023085</v>
      </c>
      <c r="B86">
        <v>23367</v>
      </c>
      <c r="C86" t="str">
        <f>E86&amp;"  Giess"</f>
        <v>Adapter  Giess</v>
      </c>
      <c r="D86">
        <v>14804</v>
      </c>
      <c r="E86" t="s">
        <v>21</v>
      </c>
      <c r="F86" s="1">
        <f t="shared" ref="F86" si="26">+G86-L86</f>
        <v>45072</v>
      </c>
      <c r="G86" s="1">
        <v>45086</v>
      </c>
      <c r="H86" t="s">
        <v>14</v>
      </c>
      <c r="I86">
        <v>10</v>
      </c>
      <c r="J86">
        <v>6000</v>
      </c>
      <c r="K86">
        <v>6000</v>
      </c>
      <c r="L86">
        <v>14</v>
      </c>
      <c r="M86">
        <v>60</v>
      </c>
      <c r="N86" s="2" t="s">
        <v>24</v>
      </c>
      <c r="O86" s="9" t="s">
        <v>44</v>
      </c>
      <c r="P86" s="9" t="s">
        <v>42</v>
      </c>
      <c r="Q86" s="3">
        <f t="shared" si="1"/>
        <v>100</v>
      </c>
      <c r="S86">
        <f t="shared" si="23"/>
        <v>21</v>
      </c>
      <c r="T86" s="4"/>
    </row>
    <row r="87" spans="1:20" ht="16" x14ac:dyDescent="0.2">
      <c r="A87">
        <v>2023086</v>
      </c>
      <c r="B87">
        <v>23367</v>
      </c>
      <c r="C87" t="str">
        <f>E87&amp;"  Giess"</f>
        <v>Adapter  Giess</v>
      </c>
      <c r="D87">
        <v>14804</v>
      </c>
      <c r="E87" t="s">
        <v>21</v>
      </c>
      <c r="F87" s="1">
        <f>+G87-L87</f>
        <v>45079</v>
      </c>
      <c r="G87" s="1">
        <f>+G86+7</f>
        <v>45093</v>
      </c>
      <c r="H87" t="s">
        <v>14</v>
      </c>
      <c r="I87">
        <v>10</v>
      </c>
      <c r="J87">
        <v>6000</v>
      </c>
      <c r="K87">
        <v>6000</v>
      </c>
      <c r="L87">
        <v>14</v>
      </c>
      <c r="M87">
        <v>60</v>
      </c>
      <c r="N87" s="2" t="s">
        <v>24</v>
      </c>
      <c r="O87" s="9" t="s">
        <v>44</v>
      </c>
      <c r="P87" s="9" t="s">
        <v>42</v>
      </c>
      <c r="Q87" s="3">
        <f>+M87*J87/3600</f>
        <v>100</v>
      </c>
      <c r="S87">
        <f t="shared" si="23"/>
        <v>22</v>
      </c>
      <c r="T87" s="4"/>
    </row>
    <row r="88" spans="1:20" ht="16" x14ac:dyDescent="0.2">
      <c r="A88">
        <v>2023087</v>
      </c>
      <c r="B88">
        <v>23367</v>
      </c>
      <c r="C88" t="str">
        <f t="shared" ref="C88:C106" si="27">E88&amp;"  Giess"</f>
        <v>Adapter  Giess</v>
      </c>
      <c r="D88">
        <v>14804</v>
      </c>
      <c r="E88" t="s">
        <v>21</v>
      </c>
      <c r="F88" s="1">
        <f>+G88-L88</f>
        <v>45086</v>
      </c>
      <c r="G88" s="1">
        <f t="shared" ref="G88:G106" si="28">+G87+7</f>
        <v>45100</v>
      </c>
      <c r="H88" t="s">
        <v>14</v>
      </c>
      <c r="I88">
        <v>10</v>
      </c>
      <c r="J88">
        <v>6000</v>
      </c>
      <c r="K88">
        <v>6000</v>
      </c>
      <c r="L88">
        <v>14</v>
      </c>
      <c r="M88">
        <v>60</v>
      </c>
      <c r="N88" s="2" t="s">
        <v>24</v>
      </c>
      <c r="O88" s="9" t="s">
        <v>44</v>
      </c>
      <c r="P88" s="9" t="s">
        <v>42</v>
      </c>
      <c r="Q88" s="3">
        <f>+M88*J88/3600</f>
        <v>100</v>
      </c>
      <c r="S88">
        <f t="shared" si="23"/>
        <v>23</v>
      </c>
      <c r="T88" s="4"/>
    </row>
    <row r="89" spans="1:20" ht="16" x14ac:dyDescent="0.2">
      <c r="A89">
        <v>2023088</v>
      </c>
      <c r="B89">
        <v>23367</v>
      </c>
      <c r="C89" t="str">
        <f t="shared" si="27"/>
        <v>Adapter  Giess</v>
      </c>
      <c r="D89">
        <v>14804</v>
      </c>
      <c r="E89" t="s">
        <v>21</v>
      </c>
      <c r="F89" s="1">
        <f t="shared" ref="F89:F106" si="29">+G89-L89</f>
        <v>45093</v>
      </c>
      <c r="G89" s="1">
        <f t="shared" si="28"/>
        <v>45107</v>
      </c>
      <c r="H89" t="s">
        <v>14</v>
      </c>
      <c r="I89">
        <v>10</v>
      </c>
      <c r="J89">
        <v>6000</v>
      </c>
      <c r="K89">
        <v>6000</v>
      </c>
      <c r="L89">
        <v>14</v>
      </c>
      <c r="M89">
        <v>60</v>
      </c>
      <c r="N89" s="2" t="s">
        <v>24</v>
      </c>
      <c r="O89" s="9" t="s">
        <v>44</v>
      </c>
      <c r="P89" s="9" t="s">
        <v>42</v>
      </c>
      <c r="Q89" s="3">
        <f t="shared" ref="Q89:Q106" si="30">+M89*J89/3600</f>
        <v>100</v>
      </c>
      <c r="S89">
        <f t="shared" si="23"/>
        <v>24</v>
      </c>
      <c r="T89" s="4"/>
    </row>
    <row r="90" spans="1:20" ht="16" x14ac:dyDescent="0.2">
      <c r="A90">
        <v>2023089</v>
      </c>
      <c r="B90">
        <v>23367</v>
      </c>
      <c r="C90" t="str">
        <f t="shared" si="27"/>
        <v>Adapter  Giess</v>
      </c>
      <c r="D90">
        <v>14804</v>
      </c>
      <c r="E90" t="s">
        <v>21</v>
      </c>
      <c r="F90" s="1">
        <f t="shared" si="29"/>
        <v>45100</v>
      </c>
      <c r="G90" s="1">
        <f t="shared" si="28"/>
        <v>45114</v>
      </c>
      <c r="H90" t="s">
        <v>14</v>
      </c>
      <c r="I90">
        <v>10</v>
      </c>
      <c r="J90">
        <v>6000</v>
      </c>
      <c r="K90">
        <v>6000</v>
      </c>
      <c r="L90">
        <v>14</v>
      </c>
      <c r="M90">
        <v>60</v>
      </c>
      <c r="N90" s="2" t="s">
        <v>24</v>
      </c>
      <c r="O90" s="9" t="s">
        <v>44</v>
      </c>
      <c r="P90" s="9" t="s">
        <v>42</v>
      </c>
      <c r="Q90" s="3">
        <f t="shared" si="30"/>
        <v>100</v>
      </c>
      <c r="S90">
        <f t="shared" si="23"/>
        <v>25</v>
      </c>
      <c r="T90" s="4"/>
    </row>
    <row r="91" spans="1:20" ht="16" x14ac:dyDescent="0.2">
      <c r="A91">
        <v>2023090</v>
      </c>
      <c r="B91">
        <v>23367</v>
      </c>
      <c r="C91" t="str">
        <f t="shared" si="27"/>
        <v>Adapter  Giess</v>
      </c>
      <c r="D91">
        <v>14804</v>
      </c>
      <c r="E91" t="s">
        <v>21</v>
      </c>
      <c r="F91" s="1">
        <f t="shared" si="29"/>
        <v>45107</v>
      </c>
      <c r="G91" s="1">
        <f t="shared" si="28"/>
        <v>45121</v>
      </c>
      <c r="H91" t="s">
        <v>14</v>
      </c>
      <c r="I91">
        <v>10</v>
      </c>
      <c r="J91">
        <v>6000</v>
      </c>
      <c r="K91">
        <v>6000</v>
      </c>
      <c r="L91">
        <v>14</v>
      </c>
      <c r="M91">
        <v>60</v>
      </c>
      <c r="N91" s="2" t="s">
        <v>24</v>
      </c>
      <c r="O91" s="9" t="s">
        <v>44</v>
      </c>
      <c r="P91" s="9" t="s">
        <v>42</v>
      </c>
      <c r="Q91" s="3">
        <f t="shared" si="30"/>
        <v>100</v>
      </c>
      <c r="S91">
        <f t="shared" si="23"/>
        <v>26</v>
      </c>
      <c r="T91" s="4"/>
    </row>
    <row r="92" spans="1:20" ht="16" x14ac:dyDescent="0.2">
      <c r="A92">
        <v>2023091</v>
      </c>
      <c r="B92">
        <v>23367</v>
      </c>
      <c r="C92" t="str">
        <f t="shared" si="27"/>
        <v>Adapter  Giess</v>
      </c>
      <c r="D92">
        <v>14804</v>
      </c>
      <c r="E92" t="s">
        <v>21</v>
      </c>
      <c r="F92" s="1">
        <f t="shared" si="29"/>
        <v>45114</v>
      </c>
      <c r="G92" s="1">
        <f t="shared" si="28"/>
        <v>45128</v>
      </c>
      <c r="H92" t="s">
        <v>14</v>
      </c>
      <c r="I92">
        <v>10</v>
      </c>
      <c r="J92">
        <v>6000</v>
      </c>
      <c r="K92">
        <v>6000</v>
      </c>
      <c r="L92">
        <v>14</v>
      </c>
      <c r="M92">
        <v>60</v>
      </c>
      <c r="N92" s="2" t="s">
        <v>24</v>
      </c>
      <c r="O92" s="9" t="s">
        <v>44</v>
      </c>
      <c r="P92" s="9" t="s">
        <v>42</v>
      </c>
      <c r="Q92" s="3">
        <f t="shared" si="30"/>
        <v>100</v>
      </c>
      <c r="S92">
        <f t="shared" si="23"/>
        <v>27</v>
      </c>
      <c r="T92" s="4"/>
    </row>
    <row r="93" spans="1:20" ht="16" x14ac:dyDescent="0.2">
      <c r="A93">
        <v>2023092</v>
      </c>
      <c r="B93">
        <v>23367</v>
      </c>
      <c r="C93" t="str">
        <f t="shared" si="27"/>
        <v>Adapter  Giess</v>
      </c>
      <c r="D93">
        <v>14804</v>
      </c>
      <c r="E93" t="s">
        <v>21</v>
      </c>
      <c r="F93" s="1">
        <f t="shared" si="29"/>
        <v>45121</v>
      </c>
      <c r="G93" s="1">
        <f t="shared" si="28"/>
        <v>45135</v>
      </c>
      <c r="H93" t="s">
        <v>14</v>
      </c>
      <c r="I93">
        <v>10</v>
      </c>
      <c r="J93">
        <v>6000</v>
      </c>
      <c r="K93">
        <v>6000</v>
      </c>
      <c r="L93">
        <v>14</v>
      </c>
      <c r="M93">
        <v>60</v>
      </c>
      <c r="N93" s="2" t="s">
        <v>24</v>
      </c>
      <c r="O93" s="9" t="s">
        <v>44</v>
      </c>
      <c r="P93" s="9" t="s">
        <v>42</v>
      </c>
      <c r="Q93" s="3">
        <f t="shared" si="30"/>
        <v>100</v>
      </c>
      <c r="S93">
        <f t="shared" si="23"/>
        <v>28</v>
      </c>
      <c r="T93" s="4"/>
    </row>
    <row r="94" spans="1:20" ht="16" x14ac:dyDescent="0.2">
      <c r="A94">
        <v>2023093</v>
      </c>
      <c r="B94">
        <v>23367</v>
      </c>
      <c r="C94" t="str">
        <f t="shared" si="27"/>
        <v>Adapter  Giess</v>
      </c>
      <c r="D94">
        <v>14804</v>
      </c>
      <c r="E94" t="s">
        <v>21</v>
      </c>
      <c r="F94" s="1">
        <f t="shared" si="29"/>
        <v>45128</v>
      </c>
      <c r="G94" s="1">
        <f t="shared" si="28"/>
        <v>45142</v>
      </c>
      <c r="H94" t="s">
        <v>14</v>
      </c>
      <c r="I94">
        <v>10</v>
      </c>
      <c r="J94">
        <v>6000</v>
      </c>
      <c r="K94">
        <v>6000</v>
      </c>
      <c r="L94">
        <v>14</v>
      </c>
      <c r="M94">
        <v>60</v>
      </c>
      <c r="N94" s="2" t="s">
        <v>24</v>
      </c>
      <c r="O94" s="9" t="s">
        <v>44</v>
      </c>
      <c r="P94" s="9" t="s">
        <v>42</v>
      </c>
      <c r="Q94" s="3">
        <f t="shared" si="30"/>
        <v>100</v>
      </c>
      <c r="S94">
        <f t="shared" si="23"/>
        <v>29</v>
      </c>
      <c r="T94" s="4"/>
    </row>
    <row r="95" spans="1:20" ht="16" x14ac:dyDescent="0.2">
      <c r="A95">
        <v>2023094</v>
      </c>
      <c r="B95">
        <v>23367</v>
      </c>
      <c r="C95" t="str">
        <f t="shared" si="27"/>
        <v>Adapter  Giess</v>
      </c>
      <c r="D95">
        <v>14804</v>
      </c>
      <c r="E95" t="s">
        <v>21</v>
      </c>
      <c r="F95" s="1">
        <f t="shared" si="29"/>
        <v>45135</v>
      </c>
      <c r="G95" s="1">
        <f t="shared" si="28"/>
        <v>45149</v>
      </c>
      <c r="H95" t="s">
        <v>14</v>
      </c>
      <c r="I95">
        <v>10</v>
      </c>
      <c r="J95">
        <v>6000</v>
      </c>
      <c r="K95">
        <v>6000</v>
      </c>
      <c r="L95">
        <v>14</v>
      </c>
      <c r="M95">
        <v>60</v>
      </c>
      <c r="N95" s="2" t="s">
        <v>24</v>
      </c>
      <c r="O95" s="9" t="s">
        <v>44</v>
      </c>
      <c r="P95" s="9" t="s">
        <v>42</v>
      </c>
      <c r="Q95" s="3">
        <f t="shared" si="30"/>
        <v>100</v>
      </c>
      <c r="S95">
        <f t="shared" si="23"/>
        <v>30</v>
      </c>
      <c r="T95" s="4"/>
    </row>
    <row r="96" spans="1:20" ht="16" x14ac:dyDescent="0.2">
      <c r="A96">
        <v>2023095</v>
      </c>
      <c r="B96">
        <v>23367</v>
      </c>
      <c r="C96" t="str">
        <f t="shared" si="27"/>
        <v>Adapter  Giess</v>
      </c>
      <c r="D96">
        <v>14804</v>
      </c>
      <c r="E96" t="s">
        <v>21</v>
      </c>
      <c r="F96" s="1">
        <f t="shared" si="29"/>
        <v>45142</v>
      </c>
      <c r="G96" s="1">
        <f t="shared" si="28"/>
        <v>45156</v>
      </c>
      <c r="H96" t="s">
        <v>14</v>
      </c>
      <c r="I96">
        <v>10</v>
      </c>
      <c r="J96">
        <v>6000</v>
      </c>
      <c r="K96">
        <v>6000</v>
      </c>
      <c r="L96">
        <v>14</v>
      </c>
      <c r="M96">
        <v>60</v>
      </c>
      <c r="N96" s="2" t="s">
        <v>24</v>
      </c>
      <c r="O96" s="9" t="s">
        <v>44</v>
      </c>
      <c r="P96" s="9" t="s">
        <v>42</v>
      </c>
      <c r="Q96" s="3">
        <f t="shared" si="30"/>
        <v>100</v>
      </c>
      <c r="S96">
        <f t="shared" si="23"/>
        <v>31</v>
      </c>
      <c r="T96" s="4"/>
    </row>
    <row r="97" spans="1:20" ht="16" x14ac:dyDescent="0.2">
      <c r="A97">
        <v>2023096</v>
      </c>
      <c r="B97">
        <v>23367</v>
      </c>
      <c r="C97" t="str">
        <f t="shared" si="27"/>
        <v>Adapter  Giess</v>
      </c>
      <c r="D97">
        <v>14804</v>
      </c>
      <c r="E97" t="s">
        <v>21</v>
      </c>
      <c r="F97" s="1">
        <f t="shared" si="29"/>
        <v>45149</v>
      </c>
      <c r="G97" s="1">
        <f t="shared" si="28"/>
        <v>45163</v>
      </c>
      <c r="H97" t="s">
        <v>14</v>
      </c>
      <c r="I97">
        <v>10</v>
      </c>
      <c r="J97">
        <v>6000</v>
      </c>
      <c r="K97">
        <v>6000</v>
      </c>
      <c r="L97">
        <v>14</v>
      </c>
      <c r="M97">
        <v>60</v>
      </c>
      <c r="N97" s="2" t="s">
        <v>24</v>
      </c>
      <c r="O97" s="9" t="s">
        <v>44</v>
      </c>
      <c r="P97" s="9" t="s">
        <v>42</v>
      </c>
      <c r="Q97" s="3">
        <f t="shared" si="30"/>
        <v>100</v>
      </c>
      <c r="S97">
        <f t="shared" si="23"/>
        <v>32</v>
      </c>
      <c r="T97" s="4"/>
    </row>
    <row r="98" spans="1:20" ht="16" x14ac:dyDescent="0.2">
      <c r="A98">
        <v>2023097</v>
      </c>
      <c r="B98">
        <v>23367</v>
      </c>
      <c r="C98" t="str">
        <f t="shared" si="27"/>
        <v>Adapter  Giess</v>
      </c>
      <c r="D98">
        <v>14804</v>
      </c>
      <c r="E98" t="s">
        <v>21</v>
      </c>
      <c r="F98" s="1">
        <f t="shared" si="29"/>
        <v>45156</v>
      </c>
      <c r="G98" s="1">
        <f t="shared" si="28"/>
        <v>45170</v>
      </c>
      <c r="H98" t="s">
        <v>14</v>
      </c>
      <c r="I98">
        <v>10</v>
      </c>
      <c r="J98">
        <v>6000</v>
      </c>
      <c r="K98">
        <v>6000</v>
      </c>
      <c r="L98">
        <v>14</v>
      </c>
      <c r="M98">
        <v>60</v>
      </c>
      <c r="N98" s="2" t="s">
        <v>24</v>
      </c>
      <c r="O98" s="9" t="s">
        <v>44</v>
      </c>
      <c r="P98" s="9" t="s">
        <v>42</v>
      </c>
      <c r="Q98" s="3">
        <f t="shared" si="30"/>
        <v>100</v>
      </c>
      <c r="S98">
        <f t="shared" si="23"/>
        <v>33</v>
      </c>
      <c r="T98" s="4"/>
    </row>
    <row r="99" spans="1:20" ht="16" x14ac:dyDescent="0.2">
      <c r="A99">
        <v>2023098</v>
      </c>
      <c r="B99">
        <v>23367</v>
      </c>
      <c r="C99" t="str">
        <f t="shared" si="27"/>
        <v>Adapter  Giess</v>
      </c>
      <c r="D99">
        <v>14804</v>
      </c>
      <c r="E99" t="s">
        <v>21</v>
      </c>
      <c r="F99" s="1">
        <f t="shared" si="29"/>
        <v>45163</v>
      </c>
      <c r="G99" s="1">
        <f t="shared" si="28"/>
        <v>45177</v>
      </c>
      <c r="H99" t="s">
        <v>14</v>
      </c>
      <c r="I99">
        <v>10</v>
      </c>
      <c r="J99">
        <v>6000</v>
      </c>
      <c r="K99">
        <v>6000</v>
      </c>
      <c r="L99">
        <v>14</v>
      </c>
      <c r="M99">
        <v>60</v>
      </c>
      <c r="N99" s="2" t="s">
        <v>24</v>
      </c>
      <c r="O99" s="9" t="s">
        <v>44</v>
      </c>
      <c r="P99" s="9" t="s">
        <v>42</v>
      </c>
      <c r="Q99" s="3">
        <f t="shared" si="30"/>
        <v>100</v>
      </c>
      <c r="S99">
        <f t="shared" si="23"/>
        <v>34</v>
      </c>
      <c r="T99" s="4"/>
    </row>
    <row r="100" spans="1:20" ht="16" x14ac:dyDescent="0.2">
      <c r="A100">
        <v>2023099</v>
      </c>
      <c r="B100">
        <v>23367</v>
      </c>
      <c r="C100" t="str">
        <f t="shared" si="27"/>
        <v>Adapter  Giess</v>
      </c>
      <c r="D100">
        <v>14804</v>
      </c>
      <c r="E100" t="s">
        <v>21</v>
      </c>
      <c r="F100" s="1">
        <f t="shared" si="29"/>
        <v>45170</v>
      </c>
      <c r="G100" s="1">
        <f t="shared" si="28"/>
        <v>45184</v>
      </c>
      <c r="H100" t="s">
        <v>14</v>
      </c>
      <c r="I100">
        <v>10</v>
      </c>
      <c r="J100">
        <v>6000</v>
      </c>
      <c r="K100">
        <v>6000</v>
      </c>
      <c r="L100">
        <v>14</v>
      </c>
      <c r="M100">
        <v>60</v>
      </c>
      <c r="N100" s="2" t="s">
        <v>24</v>
      </c>
      <c r="O100" s="9" t="s">
        <v>44</v>
      </c>
      <c r="P100" s="9" t="s">
        <v>42</v>
      </c>
      <c r="Q100" s="3">
        <f t="shared" si="30"/>
        <v>100</v>
      </c>
      <c r="S100">
        <f t="shared" si="23"/>
        <v>35</v>
      </c>
      <c r="T100" s="4"/>
    </row>
    <row r="101" spans="1:20" ht="16" x14ac:dyDescent="0.2">
      <c r="A101">
        <v>2023100</v>
      </c>
      <c r="B101">
        <v>23367</v>
      </c>
      <c r="C101" t="str">
        <f t="shared" si="27"/>
        <v>Adapter  Giess</v>
      </c>
      <c r="D101">
        <v>14804</v>
      </c>
      <c r="E101" t="s">
        <v>21</v>
      </c>
      <c r="F101" s="1">
        <f t="shared" si="29"/>
        <v>45177</v>
      </c>
      <c r="G101" s="1">
        <f t="shared" si="28"/>
        <v>45191</v>
      </c>
      <c r="H101" t="s">
        <v>14</v>
      </c>
      <c r="I101">
        <v>10</v>
      </c>
      <c r="J101">
        <v>6000</v>
      </c>
      <c r="K101">
        <v>6000</v>
      </c>
      <c r="L101">
        <v>14</v>
      </c>
      <c r="M101">
        <v>60</v>
      </c>
      <c r="N101" s="2" t="s">
        <v>24</v>
      </c>
      <c r="O101" s="9" t="s">
        <v>44</v>
      </c>
      <c r="P101" s="9" t="s">
        <v>42</v>
      </c>
      <c r="Q101" s="3">
        <f t="shared" si="30"/>
        <v>100</v>
      </c>
      <c r="S101">
        <f t="shared" si="23"/>
        <v>36</v>
      </c>
      <c r="T101" s="4"/>
    </row>
    <row r="102" spans="1:20" ht="16" x14ac:dyDescent="0.2">
      <c r="A102">
        <v>2023101</v>
      </c>
      <c r="B102">
        <v>23367</v>
      </c>
      <c r="C102" t="str">
        <f t="shared" si="27"/>
        <v>Adapter  Giess</v>
      </c>
      <c r="D102">
        <v>14804</v>
      </c>
      <c r="E102" t="s">
        <v>21</v>
      </c>
      <c r="F102" s="1">
        <f t="shared" si="29"/>
        <v>45184</v>
      </c>
      <c r="G102" s="1">
        <f t="shared" si="28"/>
        <v>45198</v>
      </c>
      <c r="H102" t="s">
        <v>14</v>
      </c>
      <c r="I102">
        <v>10</v>
      </c>
      <c r="J102">
        <v>6000</v>
      </c>
      <c r="K102">
        <v>6000</v>
      </c>
      <c r="L102">
        <v>14</v>
      </c>
      <c r="M102">
        <v>60</v>
      </c>
      <c r="N102" s="2" t="s">
        <v>24</v>
      </c>
      <c r="O102" s="9" t="s">
        <v>44</v>
      </c>
      <c r="P102" s="9" t="s">
        <v>42</v>
      </c>
      <c r="Q102" s="3">
        <f t="shared" si="30"/>
        <v>100</v>
      </c>
      <c r="S102">
        <f t="shared" si="23"/>
        <v>37</v>
      </c>
      <c r="T102" s="4"/>
    </row>
    <row r="103" spans="1:20" ht="16" x14ac:dyDescent="0.2">
      <c r="A103">
        <v>2023102</v>
      </c>
      <c r="B103">
        <v>23367</v>
      </c>
      <c r="C103" t="str">
        <f t="shared" si="27"/>
        <v>Adapter  Giess</v>
      </c>
      <c r="D103">
        <v>14804</v>
      </c>
      <c r="E103" t="s">
        <v>21</v>
      </c>
      <c r="F103" s="1">
        <f t="shared" si="29"/>
        <v>45191</v>
      </c>
      <c r="G103" s="1">
        <f t="shared" si="28"/>
        <v>45205</v>
      </c>
      <c r="H103" t="s">
        <v>14</v>
      </c>
      <c r="I103">
        <v>10</v>
      </c>
      <c r="J103">
        <v>6000</v>
      </c>
      <c r="K103">
        <v>6000</v>
      </c>
      <c r="L103">
        <v>14</v>
      </c>
      <c r="M103">
        <v>60</v>
      </c>
      <c r="N103" s="2" t="s">
        <v>24</v>
      </c>
      <c r="O103" s="9" t="s">
        <v>44</v>
      </c>
      <c r="P103" s="9" t="s">
        <v>42</v>
      </c>
      <c r="Q103" s="3">
        <f t="shared" si="30"/>
        <v>100</v>
      </c>
      <c r="S103">
        <f t="shared" si="23"/>
        <v>38</v>
      </c>
      <c r="T103" s="4"/>
    </row>
    <row r="104" spans="1:20" ht="16" x14ac:dyDescent="0.2">
      <c r="A104">
        <v>2023103</v>
      </c>
      <c r="B104">
        <v>23367</v>
      </c>
      <c r="C104" t="str">
        <f t="shared" si="27"/>
        <v>Adapter  Giess</v>
      </c>
      <c r="D104">
        <v>14804</v>
      </c>
      <c r="E104" t="s">
        <v>21</v>
      </c>
      <c r="F104" s="1">
        <f t="shared" si="29"/>
        <v>45198</v>
      </c>
      <c r="G104" s="1">
        <f t="shared" si="28"/>
        <v>45212</v>
      </c>
      <c r="H104" t="s">
        <v>14</v>
      </c>
      <c r="I104">
        <v>10</v>
      </c>
      <c r="J104">
        <v>6000</v>
      </c>
      <c r="K104">
        <v>6000</v>
      </c>
      <c r="L104">
        <v>14</v>
      </c>
      <c r="M104">
        <v>60</v>
      </c>
      <c r="N104" s="2" t="s">
        <v>24</v>
      </c>
      <c r="O104" s="9" t="s">
        <v>44</v>
      </c>
      <c r="P104" s="9" t="s">
        <v>42</v>
      </c>
      <c r="Q104" s="3">
        <f t="shared" si="30"/>
        <v>100</v>
      </c>
      <c r="S104">
        <f t="shared" si="23"/>
        <v>39</v>
      </c>
      <c r="T104" s="4"/>
    </row>
    <row r="105" spans="1:20" ht="16" x14ac:dyDescent="0.2">
      <c r="A105">
        <v>2023104</v>
      </c>
      <c r="B105">
        <v>23367</v>
      </c>
      <c r="C105" t="str">
        <f t="shared" si="27"/>
        <v>Adapter  Giess</v>
      </c>
      <c r="D105">
        <v>14804</v>
      </c>
      <c r="E105" t="s">
        <v>21</v>
      </c>
      <c r="F105" s="1">
        <f t="shared" si="29"/>
        <v>45205</v>
      </c>
      <c r="G105" s="1">
        <f t="shared" si="28"/>
        <v>45219</v>
      </c>
      <c r="H105" t="s">
        <v>14</v>
      </c>
      <c r="I105">
        <v>10</v>
      </c>
      <c r="J105">
        <v>6000</v>
      </c>
      <c r="K105">
        <v>6000</v>
      </c>
      <c r="L105">
        <v>14</v>
      </c>
      <c r="M105">
        <v>60</v>
      </c>
      <c r="N105" s="2" t="s">
        <v>24</v>
      </c>
      <c r="O105" s="9" t="s">
        <v>44</v>
      </c>
      <c r="P105" s="9" t="s">
        <v>42</v>
      </c>
      <c r="Q105" s="3">
        <f t="shared" si="30"/>
        <v>100</v>
      </c>
      <c r="S105">
        <f t="shared" si="23"/>
        <v>40</v>
      </c>
      <c r="T105" s="4"/>
    </row>
    <row r="106" spans="1:20" ht="16" x14ac:dyDescent="0.2">
      <c r="A106">
        <v>2023105</v>
      </c>
      <c r="B106">
        <v>23367</v>
      </c>
      <c r="C106" t="str">
        <f t="shared" si="27"/>
        <v>Adapter  Giess</v>
      </c>
      <c r="D106">
        <v>14804</v>
      </c>
      <c r="E106" t="s">
        <v>21</v>
      </c>
      <c r="F106" s="1">
        <f t="shared" si="29"/>
        <v>45212</v>
      </c>
      <c r="G106" s="1">
        <f t="shared" si="28"/>
        <v>45226</v>
      </c>
      <c r="H106" t="s">
        <v>14</v>
      </c>
      <c r="I106">
        <v>10</v>
      </c>
      <c r="J106">
        <v>6000</v>
      </c>
      <c r="K106">
        <v>6000</v>
      </c>
      <c r="L106">
        <v>14</v>
      </c>
      <c r="M106">
        <v>60</v>
      </c>
      <c r="N106" s="2" t="s">
        <v>24</v>
      </c>
      <c r="O106" s="9" t="s">
        <v>44</v>
      </c>
      <c r="P106" s="9" t="s">
        <v>42</v>
      </c>
      <c r="Q106" s="3">
        <f t="shared" si="30"/>
        <v>100</v>
      </c>
      <c r="S106">
        <f t="shared" si="23"/>
        <v>41</v>
      </c>
      <c r="T106" s="4"/>
    </row>
    <row r="107" spans="1:20" ht="16" x14ac:dyDescent="0.2">
      <c r="A107">
        <v>2023106</v>
      </c>
      <c r="B107">
        <v>23116</v>
      </c>
      <c r="C107" t="str">
        <f>E107&amp;"  Giess"</f>
        <v>Kühlkörper  Giess</v>
      </c>
      <c r="D107">
        <v>23114</v>
      </c>
      <c r="E107" t="s">
        <v>22</v>
      </c>
      <c r="F107" s="1">
        <f t="shared" ref="F107" si="31">+G107-L107</f>
        <v>45072</v>
      </c>
      <c r="G107" s="1">
        <v>45086</v>
      </c>
      <c r="H107" t="s">
        <v>14</v>
      </c>
      <c r="I107">
        <v>10</v>
      </c>
      <c r="J107">
        <v>700</v>
      </c>
      <c r="K107">
        <v>700</v>
      </c>
      <c r="L107">
        <v>14</v>
      </c>
      <c r="M107">
        <v>60</v>
      </c>
      <c r="N107" s="2" t="s">
        <v>26</v>
      </c>
      <c r="O107" s="9" t="s">
        <v>41</v>
      </c>
      <c r="P107" s="9" t="s">
        <v>42</v>
      </c>
      <c r="Q107" s="3">
        <f t="shared" si="1"/>
        <v>11.666666666666666</v>
      </c>
      <c r="S107">
        <f t="shared" si="23"/>
        <v>21</v>
      </c>
      <c r="T107" s="4"/>
    </row>
    <row r="108" spans="1:20" ht="16" x14ac:dyDescent="0.2">
      <c r="A108">
        <v>2023107</v>
      </c>
      <c r="B108">
        <v>23116</v>
      </c>
      <c r="C108" t="str">
        <f>E108&amp;"  Giess"</f>
        <v>Kühlkörper  Giess</v>
      </c>
      <c r="D108">
        <v>23114</v>
      </c>
      <c r="E108" t="s">
        <v>22</v>
      </c>
      <c r="F108" s="1">
        <f t="shared" ref="F108:F109" si="32">+G108-L108</f>
        <v>45079</v>
      </c>
      <c r="G108" s="1">
        <f>+G107+7</f>
        <v>45093</v>
      </c>
      <c r="H108" t="s">
        <v>14</v>
      </c>
      <c r="I108">
        <v>10</v>
      </c>
      <c r="J108">
        <v>700</v>
      </c>
      <c r="K108">
        <v>700</v>
      </c>
      <c r="L108">
        <v>14</v>
      </c>
      <c r="M108">
        <v>60</v>
      </c>
      <c r="N108" s="2" t="s">
        <v>26</v>
      </c>
      <c r="O108" s="9" t="s">
        <v>41</v>
      </c>
      <c r="P108" s="9" t="s">
        <v>42</v>
      </c>
      <c r="Q108" s="3">
        <f t="shared" ref="Q108:Q109" si="33">+M108*J108/3600</f>
        <v>11.666666666666666</v>
      </c>
      <c r="S108">
        <f t="shared" si="23"/>
        <v>22</v>
      </c>
      <c r="T108" s="4"/>
    </row>
    <row r="109" spans="1:20" ht="16" x14ac:dyDescent="0.2">
      <c r="A109">
        <v>2023108</v>
      </c>
      <c r="B109">
        <v>23116</v>
      </c>
      <c r="C109" t="str">
        <f t="shared" ref="C109:C127" si="34">E109&amp;"  Giess"</f>
        <v>Kühlkörper  Giess</v>
      </c>
      <c r="D109">
        <v>23114</v>
      </c>
      <c r="E109" t="s">
        <v>22</v>
      </c>
      <c r="F109" s="1">
        <f t="shared" si="32"/>
        <v>45086</v>
      </c>
      <c r="G109" s="1">
        <f t="shared" ref="G109:G127" si="35">+G108+7</f>
        <v>45100</v>
      </c>
      <c r="H109" t="s">
        <v>14</v>
      </c>
      <c r="I109">
        <v>10</v>
      </c>
      <c r="J109">
        <v>700</v>
      </c>
      <c r="K109">
        <v>700</v>
      </c>
      <c r="L109">
        <v>14</v>
      </c>
      <c r="M109">
        <v>60</v>
      </c>
      <c r="N109" s="2" t="s">
        <v>26</v>
      </c>
      <c r="O109" s="9" t="s">
        <v>41</v>
      </c>
      <c r="P109" s="9" t="s">
        <v>42</v>
      </c>
      <c r="Q109" s="3">
        <f t="shared" si="33"/>
        <v>11.666666666666666</v>
      </c>
      <c r="S109">
        <f t="shared" si="23"/>
        <v>23</v>
      </c>
      <c r="T109" s="4"/>
    </row>
    <row r="110" spans="1:20" ht="16" x14ac:dyDescent="0.2">
      <c r="A110">
        <v>2023109</v>
      </c>
      <c r="B110">
        <v>23116</v>
      </c>
      <c r="C110" t="str">
        <f t="shared" si="34"/>
        <v>Kühlkörper  Giess</v>
      </c>
      <c r="D110">
        <v>23114</v>
      </c>
      <c r="E110" t="s">
        <v>22</v>
      </c>
      <c r="F110" s="1">
        <f t="shared" ref="F110:F127" si="36">+G110-L110</f>
        <v>45093</v>
      </c>
      <c r="G110" s="1">
        <f t="shared" si="35"/>
        <v>45107</v>
      </c>
      <c r="H110" t="s">
        <v>14</v>
      </c>
      <c r="I110">
        <v>10</v>
      </c>
      <c r="J110">
        <v>700</v>
      </c>
      <c r="K110">
        <v>700</v>
      </c>
      <c r="L110">
        <v>14</v>
      </c>
      <c r="M110">
        <v>60</v>
      </c>
      <c r="N110" s="2" t="s">
        <v>26</v>
      </c>
      <c r="O110" s="9" t="s">
        <v>41</v>
      </c>
      <c r="P110" s="9" t="s">
        <v>42</v>
      </c>
      <c r="Q110" s="3">
        <f t="shared" ref="Q110:Q127" si="37">+M110*J110/3600</f>
        <v>11.666666666666666</v>
      </c>
      <c r="S110">
        <f t="shared" si="23"/>
        <v>24</v>
      </c>
      <c r="T110" s="4"/>
    </row>
    <row r="111" spans="1:20" ht="16" x14ac:dyDescent="0.2">
      <c r="A111">
        <v>2023110</v>
      </c>
      <c r="B111">
        <v>23116</v>
      </c>
      <c r="C111" t="str">
        <f t="shared" si="34"/>
        <v>Kühlkörper  Giess</v>
      </c>
      <c r="D111">
        <v>23114</v>
      </c>
      <c r="E111" t="s">
        <v>22</v>
      </c>
      <c r="F111" s="1">
        <f t="shared" si="36"/>
        <v>45100</v>
      </c>
      <c r="G111" s="1">
        <f t="shared" si="35"/>
        <v>45114</v>
      </c>
      <c r="H111" t="s">
        <v>14</v>
      </c>
      <c r="I111">
        <v>10</v>
      </c>
      <c r="J111">
        <v>700</v>
      </c>
      <c r="K111">
        <v>700</v>
      </c>
      <c r="L111">
        <v>14</v>
      </c>
      <c r="M111">
        <v>60</v>
      </c>
      <c r="N111" s="2" t="s">
        <v>26</v>
      </c>
      <c r="O111" s="9" t="s">
        <v>41</v>
      </c>
      <c r="P111" s="9" t="s">
        <v>42</v>
      </c>
      <c r="Q111" s="3">
        <f t="shared" si="37"/>
        <v>11.666666666666666</v>
      </c>
      <c r="S111">
        <f t="shared" si="23"/>
        <v>25</v>
      </c>
      <c r="T111" s="4"/>
    </row>
    <row r="112" spans="1:20" ht="16" x14ac:dyDescent="0.2">
      <c r="A112">
        <v>2023111</v>
      </c>
      <c r="B112">
        <v>23116</v>
      </c>
      <c r="C112" t="str">
        <f t="shared" si="34"/>
        <v>Kühlkörper  Giess</v>
      </c>
      <c r="D112">
        <v>23114</v>
      </c>
      <c r="E112" t="s">
        <v>22</v>
      </c>
      <c r="F112" s="1">
        <f t="shared" si="36"/>
        <v>45107</v>
      </c>
      <c r="G112" s="1">
        <f t="shared" si="35"/>
        <v>45121</v>
      </c>
      <c r="H112" t="s">
        <v>14</v>
      </c>
      <c r="I112">
        <v>10</v>
      </c>
      <c r="J112">
        <v>700</v>
      </c>
      <c r="K112">
        <v>700</v>
      </c>
      <c r="L112">
        <v>14</v>
      </c>
      <c r="M112">
        <v>60</v>
      </c>
      <c r="N112" s="2" t="s">
        <v>26</v>
      </c>
      <c r="O112" s="9" t="s">
        <v>41</v>
      </c>
      <c r="P112" s="9" t="s">
        <v>42</v>
      </c>
      <c r="Q112" s="3">
        <f t="shared" si="37"/>
        <v>11.666666666666666</v>
      </c>
      <c r="S112">
        <f t="shared" si="23"/>
        <v>26</v>
      </c>
      <c r="T112" s="4"/>
    </row>
    <row r="113" spans="1:20" ht="16" x14ac:dyDescent="0.2">
      <c r="A113">
        <v>2023112</v>
      </c>
      <c r="B113">
        <v>23116</v>
      </c>
      <c r="C113" t="str">
        <f t="shared" si="34"/>
        <v>Kühlkörper  Giess</v>
      </c>
      <c r="D113">
        <v>23114</v>
      </c>
      <c r="E113" t="s">
        <v>22</v>
      </c>
      <c r="F113" s="1">
        <f t="shared" si="36"/>
        <v>45114</v>
      </c>
      <c r="G113" s="1">
        <f t="shared" si="35"/>
        <v>45128</v>
      </c>
      <c r="H113" t="s">
        <v>14</v>
      </c>
      <c r="I113">
        <v>10</v>
      </c>
      <c r="J113">
        <v>700</v>
      </c>
      <c r="K113">
        <v>700</v>
      </c>
      <c r="L113">
        <v>14</v>
      </c>
      <c r="M113">
        <v>60</v>
      </c>
      <c r="N113" s="2" t="s">
        <v>26</v>
      </c>
      <c r="O113" s="9" t="s">
        <v>41</v>
      </c>
      <c r="P113" s="9" t="s">
        <v>42</v>
      </c>
      <c r="Q113" s="3">
        <f t="shared" si="37"/>
        <v>11.666666666666666</v>
      </c>
      <c r="S113">
        <f t="shared" si="23"/>
        <v>27</v>
      </c>
      <c r="T113" s="4"/>
    </row>
    <row r="114" spans="1:20" ht="16" x14ac:dyDescent="0.2">
      <c r="A114">
        <v>2023113</v>
      </c>
      <c r="B114">
        <v>23116</v>
      </c>
      <c r="C114" t="str">
        <f t="shared" si="34"/>
        <v>Kühlkörper  Giess</v>
      </c>
      <c r="D114">
        <v>23114</v>
      </c>
      <c r="E114" t="s">
        <v>22</v>
      </c>
      <c r="F114" s="1">
        <f t="shared" si="36"/>
        <v>45121</v>
      </c>
      <c r="G114" s="1">
        <f t="shared" si="35"/>
        <v>45135</v>
      </c>
      <c r="H114" t="s">
        <v>14</v>
      </c>
      <c r="I114">
        <v>10</v>
      </c>
      <c r="J114">
        <v>700</v>
      </c>
      <c r="K114">
        <v>700</v>
      </c>
      <c r="L114">
        <v>14</v>
      </c>
      <c r="M114">
        <v>60</v>
      </c>
      <c r="N114" s="2" t="s">
        <v>26</v>
      </c>
      <c r="O114" s="9" t="s">
        <v>41</v>
      </c>
      <c r="P114" s="9" t="s">
        <v>42</v>
      </c>
      <c r="Q114" s="3">
        <f t="shared" si="37"/>
        <v>11.666666666666666</v>
      </c>
      <c r="S114">
        <f t="shared" si="23"/>
        <v>28</v>
      </c>
      <c r="T114" s="4"/>
    </row>
    <row r="115" spans="1:20" ht="16" x14ac:dyDescent="0.2">
      <c r="A115">
        <v>2023114</v>
      </c>
      <c r="B115">
        <v>23116</v>
      </c>
      <c r="C115" t="str">
        <f t="shared" si="34"/>
        <v>Kühlkörper  Giess</v>
      </c>
      <c r="D115">
        <v>23114</v>
      </c>
      <c r="E115" t="s">
        <v>22</v>
      </c>
      <c r="F115" s="1">
        <f t="shared" si="36"/>
        <v>45128</v>
      </c>
      <c r="G115" s="1">
        <f t="shared" si="35"/>
        <v>45142</v>
      </c>
      <c r="H115" t="s">
        <v>14</v>
      </c>
      <c r="I115">
        <v>10</v>
      </c>
      <c r="J115">
        <v>700</v>
      </c>
      <c r="K115">
        <v>700</v>
      </c>
      <c r="L115">
        <v>14</v>
      </c>
      <c r="M115">
        <v>60</v>
      </c>
      <c r="N115" s="2" t="s">
        <v>26</v>
      </c>
      <c r="O115" s="9" t="s">
        <v>41</v>
      </c>
      <c r="P115" s="9" t="s">
        <v>42</v>
      </c>
      <c r="Q115" s="3">
        <f t="shared" si="37"/>
        <v>11.666666666666666</v>
      </c>
      <c r="S115">
        <f t="shared" si="23"/>
        <v>29</v>
      </c>
      <c r="T115" s="4"/>
    </row>
    <row r="116" spans="1:20" ht="16" x14ac:dyDescent="0.2">
      <c r="A116">
        <v>2023115</v>
      </c>
      <c r="B116">
        <v>23116</v>
      </c>
      <c r="C116" t="str">
        <f t="shared" si="34"/>
        <v>Kühlkörper  Giess</v>
      </c>
      <c r="D116">
        <v>23114</v>
      </c>
      <c r="E116" t="s">
        <v>22</v>
      </c>
      <c r="F116" s="1">
        <f t="shared" si="36"/>
        <v>45135</v>
      </c>
      <c r="G116" s="1">
        <f t="shared" si="35"/>
        <v>45149</v>
      </c>
      <c r="H116" t="s">
        <v>14</v>
      </c>
      <c r="I116">
        <v>10</v>
      </c>
      <c r="J116">
        <v>700</v>
      </c>
      <c r="K116">
        <v>700</v>
      </c>
      <c r="L116">
        <v>14</v>
      </c>
      <c r="M116">
        <v>60</v>
      </c>
      <c r="N116" s="2" t="s">
        <v>26</v>
      </c>
      <c r="O116" s="9" t="s">
        <v>41</v>
      </c>
      <c r="P116" s="9" t="s">
        <v>42</v>
      </c>
      <c r="Q116" s="3">
        <f t="shared" si="37"/>
        <v>11.666666666666666</v>
      </c>
      <c r="S116">
        <f t="shared" si="23"/>
        <v>30</v>
      </c>
      <c r="T116" s="4"/>
    </row>
    <row r="117" spans="1:20" ht="16" x14ac:dyDescent="0.2">
      <c r="A117">
        <v>2023116</v>
      </c>
      <c r="B117">
        <v>23116</v>
      </c>
      <c r="C117" t="str">
        <f t="shared" si="34"/>
        <v>Kühlkörper  Giess</v>
      </c>
      <c r="D117">
        <v>23114</v>
      </c>
      <c r="E117" t="s">
        <v>22</v>
      </c>
      <c r="F117" s="1">
        <f t="shared" si="36"/>
        <v>45142</v>
      </c>
      <c r="G117" s="1">
        <f t="shared" si="35"/>
        <v>45156</v>
      </c>
      <c r="H117" t="s">
        <v>14</v>
      </c>
      <c r="I117">
        <v>10</v>
      </c>
      <c r="J117">
        <v>700</v>
      </c>
      <c r="K117">
        <v>700</v>
      </c>
      <c r="L117">
        <v>14</v>
      </c>
      <c r="M117">
        <v>60</v>
      </c>
      <c r="N117" s="2" t="s">
        <v>26</v>
      </c>
      <c r="O117" s="9" t="s">
        <v>41</v>
      </c>
      <c r="P117" s="9" t="s">
        <v>42</v>
      </c>
      <c r="Q117" s="3">
        <f t="shared" si="37"/>
        <v>11.666666666666666</v>
      </c>
      <c r="S117">
        <f t="shared" si="23"/>
        <v>31</v>
      </c>
      <c r="T117" s="4"/>
    </row>
    <row r="118" spans="1:20" ht="16" x14ac:dyDescent="0.2">
      <c r="A118">
        <v>2023117</v>
      </c>
      <c r="B118">
        <v>23116</v>
      </c>
      <c r="C118" t="str">
        <f t="shared" si="34"/>
        <v>Kühlkörper  Giess</v>
      </c>
      <c r="D118">
        <v>23114</v>
      </c>
      <c r="E118" t="s">
        <v>22</v>
      </c>
      <c r="F118" s="1">
        <f t="shared" si="36"/>
        <v>45149</v>
      </c>
      <c r="G118" s="1">
        <f t="shared" si="35"/>
        <v>45163</v>
      </c>
      <c r="H118" t="s">
        <v>14</v>
      </c>
      <c r="I118">
        <v>10</v>
      </c>
      <c r="J118">
        <v>700</v>
      </c>
      <c r="K118">
        <v>700</v>
      </c>
      <c r="L118">
        <v>14</v>
      </c>
      <c r="M118">
        <v>60</v>
      </c>
      <c r="N118" s="2" t="s">
        <v>26</v>
      </c>
      <c r="O118" s="9" t="s">
        <v>41</v>
      </c>
      <c r="P118" s="9" t="s">
        <v>42</v>
      </c>
      <c r="Q118" s="3">
        <f t="shared" si="37"/>
        <v>11.666666666666666</v>
      </c>
      <c r="S118">
        <f t="shared" si="23"/>
        <v>32</v>
      </c>
      <c r="T118" s="4"/>
    </row>
    <row r="119" spans="1:20" ht="16" x14ac:dyDescent="0.2">
      <c r="A119">
        <v>2023118</v>
      </c>
      <c r="B119">
        <v>23116</v>
      </c>
      <c r="C119" t="str">
        <f t="shared" si="34"/>
        <v>Kühlkörper  Giess</v>
      </c>
      <c r="D119">
        <v>23114</v>
      </c>
      <c r="E119" t="s">
        <v>22</v>
      </c>
      <c r="F119" s="1">
        <f t="shared" si="36"/>
        <v>45156</v>
      </c>
      <c r="G119" s="1">
        <f t="shared" si="35"/>
        <v>45170</v>
      </c>
      <c r="H119" t="s">
        <v>14</v>
      </c>
      <c r="I119">
        <v>10</v>
      </c>
      <c r="J119">
        <v>700</v>
      </c>
      <c r="K119">
        <v>700</v>
      </c>
      <c r="L119">
        <v>14</v>
      </c>
      <c r="M119">
        <v>60</v>
      </c>
      <c r="N119" s="2" t="s">
        <v>26</v>
      </c>
      <c r="O119" s="9" t="s">
        <v>41</v>
      </c>
      <c r="P119" s="9" t="s">
        <v>42</v>
      </c>
      <c r="Q119" s="3">
        <f t="shared" si="37"/>
        <v>11.666666666666666</v>
      </c>
      <c r="S119">
        <f t="shared" si="23"/>
        <v>33</v>
      </c>
      <c r="T119" s="4"/>
    </row>
    <row r="120" spans="1:20" ht="16" x14ac:dyDescent="0.2">
      <c r="A120">
        <v>2023119</v>
      </c>
      <c r="B120">
        <v>23116</v>
      </c>
      <c r="C120" t="str">
        <f t="shared" si="34"/>
        <v>Kühlkörper  Giess</v>
      </c>
      <c r="D120">
        <v>23114</v>
      </c>
      <c r="E120" t="s">
        <v>22</v>
      </c>
      <c r="F120" s="1">
        <f t="shared" si="36"/>
        <v>45163</v>
      </c>
      <c r="G120" s="1">
        <f t="shared" si="35"/>
        <v>45177</v>
      </c>
      <c r="H120" t="s">
        <v>14</v>
      </c>
      <c r="I120">
        <v>10</v>
      </c>
      <c r="J120">
        <v>700</v>
      </c>
      <c r="K120">
        <v>700</v>
      </c>
      <c r="L120">
        <v>14</v>
      </c>
      <c r="M120">
        <v>60</v>
      </c>
      <c r="N120" s="2" t="s">
        <v>26</v>
      </c>
      <c r="O120" s="9" t="s">
        <v>41</v>
      </c>
      <c r="P120" s="9" t="s">
        <v>42</v>
      </c>
      <c r="Q120" s="3">
        <f t="shared" si="37"/>
        <v>11.666666666666666</v>
      </c>
      <c r="S120">
        <f t="shared" si="23"/>
        <v>34</v>
      </c>
      <c r="T120" s="4"/>
    </row>
    <row r="121" spans="1:20" ht="16" x14ac:dyDescent="0.2">
      <c r="A121">
        <v>2023120</v>
      </c>
      <c r="B121">
        <v>23116</v>
      </c>
      <c r="C121" t="str">
        <f t="shared" si="34"/>
        <v>Kühlkörper  Giess</v>
      </c>
      <c r="D121">
        <v>23114</v>
      </c>
      <c r="E121" t="s">
        <v>22</v>
      </c>
      <c r="F121" s="1">
        <f t="shared" si="36"/>
        <v>45170</v>
      </c>
      <c r="G121" s="1">
        <f t="shared" si="35"/>
        <v>45184</v>
      </c>
      <c r="H121" t="s">
        <v>14</v>
      </c>
      <c r="I121">
        <v>10</v>
      </c>
      <c r="J121">
        <v>700</v>
      </c>
      <c r="K121">
        <v>700</v>
      </c>
      <c r="L121">
        <v>14</v>
      </c>
      <c r="M121">
        <v>60</v>
      </c>
      <c r="N121" s="2" t="s">
        <v>26</v>
      </c>
      <c r="O121" s="9" t="s">
        <v>41</v>
      </c>
      <c r="P121" s="9" t="s">
        <v>42</v>
      </c>
      <c r="Q121" s="3">
        <f t="shared" si="37"/>
        <v>11.666666666666666</v>
      </c>
      <c r="S121">
        <f t="shared" si="23"/>
        <v>35</v>
      </c>
      <c r="T121" s="4"/>
    </row>
    <row r="122" spans="1:20" ht="16" x14ac:dyDescent="0.2">
      <c r="A122">
        <v>2023121</v>
      </c>
      <c r="B122">
        <v>23116</v>
      </c>
      <c r="C122" t="str">
        <f t="shared" si="34"/>
        <v>Kühlkörper  Giess</v>
      </c>
      <c r="D122">
        <v>23114</v>
      </c>
      <c r="E122" t="s">
        <v>22</v>
      </c>
      <c r="F122" s="1">
        <f t="shared" si="36"/>
        <v>45177</v>
      </c>
      <c r="G122" s="1">
        <f t="shared" si="35"/>
        <v>45191</v>
      </c>
      <c r="H122" t="s">
        <v>14</v>
      </c>
      <c r="I122">
        <v>10</v>
      </c>
      <c r="J122">
        <v>700</v>
      </c>
      <c r="K122">
        <v>700</v>
      </c>
      <c r="L122">
        <v>14</v>
      </c>
      <c r="M122">
        <v>60</v>
      </c>
      <c r="N122" s="2" t="s">
        <v>26</v>
      </c>
      <c r="O122" s="9" t="s">
        <v>41</v>
      </c>
      <c r="P122" s="9" t="s">
        <v>42</v>
      </c>
      <c r="Q122" s="3">
        <f t="shared" si="37"/>
        <v>11.666666666666666</v>
      </c>
      <c r="S122">
        <f t="shared" si="23"/>
        <v>36</v>
      </c>
      <c r="T122" s="4"/>
    </row>
    <row r="123" spans="1:20" ht="16" x14ac:dyDescent="0.2">
      <c r="A123">
        <v>2023122</v>
      </c>
      <c r="B123">
        <v>23116</v>
      </c>
      <c r="C123" t="str">
        <f t="shared" si="34"/>
        <v>Kühlkörper  Giess</v>
      </c>
      <c r="D123">
        <v>23114</v>
      </c>
      <c r="E123" t="s">
        <v>22</v>
      </c>
      <c r="F123" s="1">
        <f t="shared" si="36"/>
        <v>45184</v>
      </c>
      <c r="G123" s="1">
        <f t="shared" si="35"/>
        <v>45198</v>
      </c>
      <c r="H123" t="s">
        <v>14</v>
      </c>
      <c r="I123">
        <v>10</v>
      </c>
      <c r="J123">
        <v>700</v>
      </c>
      <c r="K123">
        <v>700</v>
      </c>
      <c r="L123">
        <v>14</v>
      </c>
      <c r="M123">
        <v>60</v>
      </c>
      <c r="N123" s="2" t="s">
        <v>26</v>
      </c>
      <c r="O123" s="9" t="s">
        <v>41</v>
      </c>
      <c r="P123" s="9" t="s">
        <v>42</v>
      </c>
      <c r="Q123" s="3">
        <f t="shared" si="37"/>
        <v>11.666666666666666</v>
      </c>
      <c r="S123">
        <f t="shared" si="23"/>
        <v>37</v>
      </c>
      <c r="T123" s="4"/>
    </row>
    <row r="124" spans="1:20" ht="16" x14ac:dyDescent="0.2">
      <c r="A124">
        <v>2023123</v>
      </c>
      <c r="B124">
        <v>23116</v>
      </c>
      <c r="C124" t="str">
        <f t="shared" si="34"/>
        <v>Kühlkörper  Giess</v>
      </c>
      <c r="D124">
        <v>23114</v>
      </c>
      <c r="E124" t="s">
        <v>22</v>
      </c>
      <c r="F124" s="1">
        <f t="shared" si="36"/>
        <v>45191</v>
      </c>
      <c r="G124" s="1">
        <f t="shared" si="35"/>
        <v>45205</v>
      </c>
      <c r="H124" t="s">
        <v>14</v>
      </c>
      <c r="I124">
        <v>10</v>
      </c>
      <c r="J124">
        <v>700</v>
      </c>
      <c r="K124">
        <v>700</v>
      </c>
      <c r="L124">
        <v>14</v>
      </c>
      <c r="M124">
        <v>60</v>
      </c>
      <c r="N124" s="2" t="s">
        <v>26</v>
      </c>
      <c r="O124" s="9" t="s">
        <v>41</v>
      </c>
      <c r="P124" s="9" t="s">
        <v>42</v>
      </c>
      <c r="Q124" s="3">
        <f t="shared" si="37"/>
        <v>11.666666666666666</v>
      </c>
      <c r="S124">
        <f t="shared" si="23"/>
        <v>38</v>
      </c>
      <c r="T124" s="4"/>
    </row>
    <row r="125" spans="1:20" ht="16" x14ac:dyDescent="0.2">
      <c r="A125">
        <v>2023124</v>
      </c>
      <c r="B125">
        <v>23116</v>
      </c>
      <c r="C125" t="str">
        <f t="shared" si="34"/>
        <v>Kühlkörper  Giess</v>
      </c>
      <c r="D125">
        <v>23114</v>
      </c>
      <c r="E125" t="s">
        <v>22</v>
      </c>
      <c r="F125" s="1">
        <f t="shared" si="36"/>
        <v>45198</v>
      </c>
      <c r="G125" s="1">
        <f t="shared" si="35"/>
        <v>45212</v>
      </c>
      <c r="H125" t="s">
        <v>14</v>
      </c>
      <c r="I125">
        <v>10</v>
      </c>
      <c r="J125">
        <v>700</v>
      </c>
      <c r="K125">
        <v>700</v>
      </c>
      <c r="L125">
        <v>14</v>
      </c>
      <c r="M125">
        <v>60</v>
      </c>
      <c r="N125" s="2" t="s">
        <v>26</v>
      </c>
      <c r="O125" s="9" t="s">
        <v>41</v>
      </c>
      <c r="P125" s="9" t="s">
        <v>42</v>
      </c>
      <c r="Q125" s="3">
        <f t="shared" si="37"/>
        <v>11.666666666666666</v>
      </c>
      <c r="S125">
        <f t="shared" si="23"/>
        <v>39</v>
      </c>
      <c r="T125" s="4"/>
    </row>
    <row r="126" spans="1:20" ht="16" x14ac:dyDescent="0.2">
      <c r="A126">
        <v>2023125</v>
      </c>
      <c r="B126">
        <v>23116</v>
      </c>
      <c r="C126" t="str">
        <f t="shared" si="34"/>
        <v>Kühlkörper  Giess</v>
      </c>
      <c r="D126">
        <v>23114</v>
      </c>
      <c r="E126" t="s">
        <v>22</v>
      </c>
      <c r="F126" s="1">
        <f t="shared" si="36"/>
        <v>45205</v>
      </c>
      <c r="G126" s="1">
        <f t="shared" si="35"/>
        <v>45219</v>
      </c>
      <c r="H126" t="s">
        <v>14</v>
      </c>
      <c r="I126">
        <v>10</v>
      </c>
      <c r="J126">
        <v>700</v>
      </c>
      <c r="K126">
        <v>700</v>
      </c>
      <c r="L126">
        <v>14</v>
      </c>
      <c r="M126">
        <v>60</v>
      </c>
      <c r="N126" s="2" t="s">
        <v>26</v>
      </c>
      <c r="O126" s="9" t="s">
        <v>41</v>
      </c>
      <c r="P126" s="9" t="s">
        <v>42</v>
      </c>
      <c r="Q126" s="3">
        <f t="shared" si="37"/>
        <v>11.666666666666666</v>
      </c>
      <c r="S126">
        <f t="shared" si="23"/>
        <v>40</v>
      </c>
      <c r="T126" s="4"/>
    </row>
    <row r="127" spans="1:20" ht="16" x14ac:dyDescent="0.2">
      <c r="A127">
        <v>2023126</v>
      </c>
      <c r="B127">
        <v>23116</v>
      </c>
      <c r="C127" t="str">
        <f t="shared" si="34"/>
        <v>Kühlkörper  Giess</v>
      </c>
      <c r="D127">
        <v>23114</v>
      </c>
      <c r="E127" t="s">
        <v>22</v>
      </c>
      <c r="F127" s="1">
        <f t="shared" si="36"/>
        <v>45212</v>
      </c>
      <c r="G127" s="1">
        <f t="shared" si="35"/>
        <v>45226</v>
      </c>
      <c r="H127" t="s">
        <v>14</v>
      </c>
      <c r="I127">
        <v>10</v>
      </c>
      <c r="J127">
        <v>700</v>
      </c>
      <c r="K127">
        <v>700</v>
      </c>
      <c r="L127">
        <v>14</v>
      </c>
      <c r="M127">
        <v>60</v>
      </c>
      <c r="N127" s="2" t="s">
        <v>26</v>
      </c>
      <c r="O127" s="9" t="s">
        <v>41</v>
      </c>
      <c r="P127" s="9" t="s">
        <v>42</v>
      </c>
      <c r="Q127" s="3">
        <f t="shared" si="37"/>
        <v>11.666666666666666</v>
      </c>
      <c r="S127">
        <f t="shared" si="23"/>
        <v>41</v>
      </c>
      <c r="T127" s="4"/>
    </row>
    <row r="129" spans="14:20" x14ac:dyDescent="0.2">
      <c r="N129" s="2"/>
      <c r="O129" s="9"/>
      <c r="P129" s="9"/>
      <c r="Q129" s="3"/>
      <c r="T129" s="4"/>
    </row>
    <row r="130" spans="14:20" x14ac:dyDescent="0.2">
      <c r="N130" s="2"/>
      <c r="O130" s="9"/>
      <c r="P130" s="9"/>
      <c r="Q130" s="3"/>
      <c r="T130" s="4"/>
    </row>
    <row r="131" spans="14:20" x14ac:dyDescent="0.2">
      <c r="N131" s="2"/>
      <c r="O131" s="9"/>
      <c r="P131" s="9"/>
      <c r="Q131" s="3"/>
      <c r="T131" s="4"/>
    </row>
    <row r="132" spans="14:20" x14ac:dyDescent="0.2">
      <c r="N132" s="2"/>
      <c r="O132" s="9"/>
      <c r="P132" s="9"/>
      <c r="Q132" s="3"/>
      <c r="T132" s="4"/>
    </row>
    <row r="133" spans="14:20" x14ac:dyDescent="0.2">
      <c r="N133" s="2"/>
      <c r="O133" s="9"/>
      <c r="P133" s="9"/>
      <c r="Q133" s="3"/>
      <c r="T133" s="4"/>
    </row>
    <row r="134" spans="14:20" x14ac:dyDescent="0.2">
      <c r="N134" s="2"/>
      <c r="O134" s="9"/>
      <c r="P134" s="9"/>
      <c r="Q134" s="3"/>
      <c r="T134" s="4"/>
    </row>
    <row r="135" spans="14:20" x14ac:dyDescent="0.2">
      <c r="N135" s="2"/>
      <c r="O135" s="9"/>
      <c r="P135" s="9"/>
      <c r="Q135" s="3"/>
      <c r="T135" s="4"/>
    </row>
    <row r="136" spans="14:20" x14ac:dyDescent="0.2">
      <c r="N136" s="2"/>
      <c r="O136" s="9"/>
      <c r="P136" s="9"/>
      <c r="Q136" s="3"/>
      <c r="T136" s="4"/>
    </row>
    <row r="137" spans="14:20" x14ac:dyDescent="0.2">
      <c r="N137" s="2"/>
      <c r="O137" s="9"/>
      <c r="P137" s="9"/>
      <c r="Q137" s="3"/>
      <c r="T137" s="4"/>
    </row>
    <row r="138" spans="14:20" x14ac:dyDescent="0.2">
      <c r="N138" s="2"/>
      <c r="O138" s="9"/>
      <c r="P138" s="9"/>
      <c r="Q138" s="3"/>
      <c r="T138" s="4"/>
    </row>
    <row r="139" spans="14:20" x14ac:dyDescent="0.2">
      <c r="N139" s="2"/>
      <c r="O139" s="9"/>
      <c r="P139" s="9"/>
      <c r="Q139" s="3"/>
      <c r="T139" s="4"/>
    </row>
    <row r="140" spans="14:20" x14ac:dyDescent="0.2">
      <c r="N140" s="2"/>
      <c r="O140" s="9"/>
      <c r="P140" s="9"/>
      <c r="Q140" s="3"/>
      <c r="T140" s="4"/>
    </row>
    <row r="141" spans="14:20" x14ac:dyDescent="0.2">
      <c r="N141" s="2"/>
      <c r="O141" s="9"/>
      <c r="P141" s="9"/>
      <c r="Q141" s="3"/>
      <c r="T141" s="4"/>
    </row>
    <row r="142" spans="14:20" x14ac:dyDescent="0.2">
      <c r="N142" s="2"/>
      <c r="O142" s="9"/>
      <c r="P142" s="9"/>
      <c r="Q142" s="3"/>
      <c r="T142" s="4"/>
    </row>
    <row r="143" spans="14:20" x14ac:dyDescent="0.2">
      <c r="N143" s="2"/>
      <c r="O143" s="9"/>
      <c r="P143" s="9"/>
      <c r="Q143" s="3"/>
      <c r="T143" s="4"/>
    </row>
    <row r="144" spans="14:20" x14ac:dyDescent="0.2">
      <c r="N144" s="2"/>
      <c r="O144" s="9"/>
      <c r="P144" s="9"/>
      <c r="Q144" s="3"/>
      <c r="T144" s="4"/>
    </row>
    <row r="145" spans="14:20" x14ac:dyDescent="0.2">
      <c r="N145" s="2"/>
      <c r="O145" s="9"/>
      <c r="P145" s="9"/>
      <c r="Q145" s="3"/>
      <c r="T145" s="4"/>
    </row>
    <row r="146" spans="14:20" x14ac:dyDescent="0.2">
      <c r="N146" s="2"/>
      <c r="O146" s="9"/>
      <c r="P146" s="9"/>
      <c r="Q146" s="3"/>
      <c r="T146" s="4"/>
    </row>
    <row r="147" spans="14:20" x14ac:dyDescent="0.2">
      <c r="N147" s="2"/>
      <c r="O147" s="9"/>
      <c r="P147" s="9"/>
      <c r="Q147" s="3"/>
      <c r="T147" s="4"/>
    </row>
    <row r="148" spans="14:20" x14ac:dyDescent="0.2">
      <c r="N148" s="2"/>
      <c r="O148" s="9"/>
      <c r="P148" s="9"/>
      <c r="Q148" s="3"/>
      <c r="T148" s="4"/>
    </row>
    <row r="149" spans="14:20" x14ac:dyDescent="0.2">
      <c r="N149" s="2"/>
      <c r="O149" s="9"/>
      <c r="P149" s="9"/>
      <c r="Q149" s="3"/>
      <c r="T149" s="4"/>
    </row>
    <row r="150" spans="14:20" x14ac:dyDescent="0.2">
      <c r="N150" s="2"/>
      <c r="O150" s="9"/>
      <c r="P150" s="9"/>
      <c r="Q150" s="3"/>
      <c r="T150" s="4"/>
    </row>
    <row r="151" spans="14:20" x14ac:dyDescent="0.2">
      <c r="N151" s="2"/>
      <c r="O151" s="9"/>
      <c r="P151" s="9"/>
      <c r="Q151" s="3"/>
      <c r="T151" s="4"/>
    </row>
    <row r="152" spans="14:20" x14ac:dyDescent="0.2">
      <c r="N152" s="2"/>
      <c r="O152" s="9"/>
      <c r="P152" s="9"/>
      <c r="Q152" s="3"/>
      <c r="T152" s="4"/>
    </row>
    <row r="153" spans="14:20" x14ac:dyDescent="0.2">
      <c r="N153" s="2"/>
      <c r="O153" s="9"/>
      <c r="P153" s="9"/>
      <c r="Q153" s="3"/>
      <c r="T153" s="4"/>
    </row>
    <row r="154" spans="14:20" x14ac:dyDescent="0.2">
      <c r="N154" s="2"/>
      <c r="O154" s="9"/>
      <c r="P154" s="9"/>
      <c r="Q154" s="3"/>
      <c r="T154" s="4"/>
    </row>
    <row r="155" spans="14:20" x14ac:dyDescent="0.2">
      <c r="N155" s="2"/>
      <c r="O155" s="9"/>
      <c r="P155" s="9"/>
      <c r="Q155" s="3"/>
      <c r="T155" s="4"/>
    </row>
    <row r="156" spans="14:20" x14ac:dyDescent="0.2">
      <c r="N156" s="2"/>
      <c r="O156" s="9"/>
      <c r="P156" s="9"/>
      <c r="Q156" s="3"/>
      <c r="T156" s="4"/>
    </row>
    <row r="157" spans="14:20" x14ac:dyDescent="0.2">
      <c r="N157" s="2"/>
      <c r="O157" s="9"/>
      <c r="P157" s="9"/>
      <c r="Q157" s="3"/>
      <c r="T157" s="4"/>
    </row>
    <row r="158" spans="14:20" x14ac:dyDescent="0.2">
      <c r="N158" s="2"/>
      <c r="O158" s="9"/>
      <c r="P158" s="9"/>
      <c r="Q158" s="3"/>
      <c r="T158" s="4"/>
    </row>
    <row r="159" spans="14:20" x14ac:dyDescent="0.2">
      <c r="N159" s="2"/>
      <c r="O159" s="9"/>
      <c r="P159" s="9"/>
      <c r="Q159" s="3"/>
      <c r="T159" s="4"/>
    </row>
    <row r="160" spans="14:20" x14ac:dyDescent="0.2">
      <c r="N160" s="2"/>
      <c r="O160" s="9"/>
      <c r="P160" s="9"/>
      <c r="Q160" s="3"/>
      <c r="T160" s="4"/>
    </row>
    <row r="161" spans="14:20" x14ac:dyDescent="0.2">
      <c r="N161" s="2"/>
      <c r="O161" s="9"/>
      <c r="P161" s="9"/>
      <c r="Q161" s="3"/>
      <c r="T161" s="4"/>
    </row>
    <row r="162" spans="14:20" x14ac:dyDescent="0.2">
      <c r="N162" s="2"/>
      <c r="O162" s="9"/>
      <c r="P162" s="9"/>
      <c r="Q162" s="3"/>
      <c r="T162" s="4"/>
    </row>
    <row r="163" spans="14:20" x14ac:dyDescent="0.2">
      <c r="N163" s="2"/>
      <c r="O163" s="9"/>
      <c r="P163" s="9"/>
      <c r="Q163" s="3"/>
      <c r="T163" s="4"/>
    </row>
    <row r="164" spans="14:20" x14ac:dyDescent="0.2">
      <c r="N164" s="2"/>
      <c r="O164" s="9"/>
      <c r="P164" s="9"/>
      <c r="Q164" s="3"/>
      <c r="T164" s="4"/>
    </row>
    <row r="165" spans="14:20" x14ac:dyDescent="0.2">
      <c r="N165" s="2"/>
      <c r="O165" s="9"/>
      <c r="P165" s="9"/>
      <c r="Q165" s="3"/>
      <c r="T165" s="4"/>
    </row>
    <row r="166" spans="14:20" x14ac:dyDescent="0.2">
      <c r="N166" s="2"/>
      <c r="O166" s="9"/>
      <c r="P166" s="9"/>
      <c r="Q166" s="3"/>
      <c r="T166" s="4"/>
    </row>
    <row r="167" spans="14:20" x14ac:dyDescent="0.2">
      <c r="N167" s="2"/>
      <c r="O167" s="9"/>
      <c r="P167" s="9"/>
      <c r="Q167" s="3"/>
      <c r="T167" s="4"/>
    </row>
    <row r="168" spans="14:20" x14ac:dyDescent="0.2">
      <c r="N168" s="2"/>
      <c r="O168" s="9"/>
      <c r="P168" s="9"/>
      <c r="Q168" s="3"/>
      <c r="T168" s="4"/>
    </row>
    <row r="169" spans="14:20" x14ac:dyDescent="0.2">
      <c r="N169" s="2"/>
      <c r="O169" s="9"/>
      <c r="P169" s="9"/>
      <c r="Q169" s="3"/>
      <c r="T169" s="4"/>
    </row>
    <row r="170" spans="14:20" x14ac:dyDescent="0.2">
      <c r="N170" s="2"/>
      <c r="O170" s="9"/>
      <c r="P170" s="9"/>
      <c r="Q170" s="3"/>
      <c r="T170" s="4"/>
    </row>
    <row r="171" spans="14:20" x14ac:dyDescent="0.2">
      <c r="N171" s="2"/>
      <c r="O171" s="9"/>
      <c r="P171" s="9"/>
      <c r="Q171" s="3"/>
      <c r="T171" s="4"/>
    </row>
    <row r="172" spans="14:20" x14ac:dyDescent="0.2">
      <c r="N172" s="2"/>
      <c r="O172" s="9"/>
      <c r="P172" s="9"/>
      <c r="Q172" s="3"/>
      <c r="T172" s="4"/>
    </row>
    <row r="173" spans="14:20" x14ac:dyDescent="0.2">
      <c r="N173" s="2"/>
      <c r="O173" s="9"/>
      <c r="P173" s="9"/>
      <c r="Q173" s="3"/>
      <c r="T173" s="4"/>
    </row>
    <row r="174" spans="14:20" x14ac:dyDescent="0.2">
      <c r="N174" s="2"/>
      <c r="O174" s="9"/>
      <c r="P174" s="9"/>
      <c r="Q174" s="3"/>
      <c r="T174" s="4"/>
    </row>
    <row r="175" spans="14:20" x14ac:dyDescent="0.2">
      <c r="N175" s="2"/>
      <c r="O175" s="9"/>
      <c r="P175" s="9"/>
      <c r="Q175" s="3"/>
      <c r="T175" s="4"/>
    </row>
    <row r="176" spans="14:20" x14ac:dyDescent="0.2">
      <c r="N176" s="2"/>
      <c r="O176" s="9"/>
      <c r="P176" s="9"/>
      <c r="Q176" s="3"/>
      <c r="T176" s="4"/>
    </row>
    <row r="177" spans="14:20" x14ac:dyDescent="0.2">
      <c r="N177" s="2"/>
      <c r="O177" s="9"/>
      <c r="P177" s="9"/>
      <c r="Q177" s="3"/>
      <c r="T177" s="4"/>
    </row>
    <row r="178" spans="14:20" x14ac:dyDescent="0.2">
      <c r="N178" s="2"/>
      <c r="O178" s="9"/>
      <c r="P178" s="9"/>
      <c r="Q178" s="3"/>
      <c r="T178" s="4"/>
    </row>
    <row r="179" spans="14:20" x14ac:dyDescent="0.2">
      <c r="N179" s="2"/>
      <c r="O179" s="9"/>
      <c r="P179" s="9"/>
      <c r="Q179" s="3"/>
      <c r="T179" s="4"/>
    </row>
    <row r="180" spans="14:20" x14ac:dyDescent="0.2">
      <c r="N180" s="2"/>
      <c r="O180" s="9"/>
      <c r="P180" s="9"/>
      <c r="Q180" s="3"/>
      <c r="T180" s="4"/>
    </row>
    <row r="181" spans="14:20" x14ac:dyDescent="0.2">
      <c r="N181" s="2"/>
      <c r="O181" s="9"/>
      <c r="P181" s="9"/>
      <c r="Q181" s="3"/>
      <c r="T181" s="4"/>
    </row>
    <row r="182" spans="14:20" x14ac:dyDescent="0.2">
      <c r="N182" s="2"/>
      <c r="O182" s="9"/>
      <c r="P182" s="9"/>
      <c r="Q182" s="3"/>
      <c r="T182" s="4"/>
    </row>
    <row r="183" spans="14:20" x14ac:dyDescent="0.2">
      <c r="N183" s="2"/>
      <c r="O183" s="9"/>
      <c r="P183" s="9"/>
      <c r="Q183" s="3"/>
      <c r="T183" s="4"/>
    </row>
    <row r="184" spans="14:20" x14ac:dyDescent="0.2">
      <c r="N184" s="2"/>
      <c r="O184" s="9"/>
      <c r="P184" s="9"/>
      <c r="Q184" s="3"/>
      <c r="T184" s="4"/>
    </row>
    <row r="185" spans="14:20" x14ac:dyDescent="0.2">
      <c r="N185" s="2"/>
      <c r="O185" s="9"/>
      <c r="P185" s="9"/>
      <c r="Q185" s="3"/>
      <c r="T185" s="4"/>
    </row>
    <row r="186" spans="14:20" x14ac:dyDescent="0.2">
      <c r="N186" s="2"/>
      <c r="O186" s="9"/>
      <c r="P186" s="9"/>
      <c r="Q186" s="3"/>
      <c r="T186" s="4"/>
    </row>
    <row r="187" spans="14:20" x14ac:dyDescent="0.2">
      <c r="N187" s="2"/>
      <c r="O187" s="9"/>
      <c r="P187" s="9"/>
      <c r="Q187" s="3"/>
      <c r="T187" s="4"/>
    </row>
    <row r="188" spans="14:20" x14ac:dyDescent="0.2">
      <c r="N188" s="2"/>
      <c r="O188" s="9"/>
      <c r="P188" s="9"/>
      <c r="Q188" s="3"/>
      <c r="T188" s="4"/>
    </row>
    <row r="189" spans="14:20" x14ac:dyDescent="0.2">
      <c r="N189" s="2"/>
      <c r="O189" s="9"/>
      <c r="P189" s="9"/>
      <c r="Q189" s="3"/>
      <c r="T189" s="4"/>
    </row>
    <row r="190" spans="14:20" x14ac:dyDescent="0.2">
      <c r="N190" s="2"/>
      <c r="O190" s="9"/>
      <c r="P190" s="9"/>
      <c r="Q190" s="3"/>
      <c r="T190" s="4"/>
    </row>
    <row r="191" spans="14:20" x14ac:dyDescent="0.2">
      <c r="N191" s="2"/>
      <c r="O191" s="9"/>
      <c r="P191" s="9"/>
      <c r="Q191" s="3"/>
      <c r="T191" s="4"/>
    </row>
    <row r="192" spans="14:20" x14ac:dyDescent="0.2">
      <c r="N192" s="2"/>
      <c r="O192" s="9"/>
      <c r="P192" s="9"/>
      <c r="Q192" s="3"/>
      <c r="T192" s="4"/>
    </row>
    <row r="193" spans="14:20" x14ac:dyDescent="0.2">
      <c r="N193" s="2"/>
      <c r="O193" s="9"/>
      <c r="P193" s="9"/>
      <c r="Q193" s="3"/>
      <c r="T193" s="4"/>
    </row>
    <row r="194" spans="14:20" x14ac:dyDescent="0.2">
      <c r="N194" s="2"/>
      <c r="O194" s="9"/>
      <c r="P194" s="9"/>
      <c r="Q194" s="3"/>
      <c r="T194" s="4"/>
    </row>
    <row r="195" spans="14:20" x14ac:dyDescent="0.2">
      <c r="N195" s="2"/>
      <c r="O195" s="9"/>
      <c r="P195" s="9"/>
      <c r="Q195" s="3"/>
      <c r="T195" s="4"/>
    </row>
    <row r="196" spans="14:20" x14ac:dyDescent="0.2">
      <c r="N196" s="2"/>
      <c r="O196" s="9"/>
      <c r="P196" s="9"/>
      <c r="Q196" s="3"/>
      <c r="T196" s="4"/>
    </row>
    <row r="197" spans="14:20" x14ac:dyDescent="0.2">
      <c r="N197" s="2"/>
      <c r="O197" s="9"/>
      <c r="P197" s="9"/>
      <c r="Q197" s="3"/>
      <c r="T197" s="4"/>
    </row>
    <row r="198" spans="14:20" x14ac:dyDescent="0.2">
      <c r="N198" s="2"/>
      <c r="O198" s="9"/>
      <c r="P198" s="9"/>
      <c r="Q198" s="3"/>
      <c r="T198" s="4"/>
    </row>
    <row r="199" spans="14:20" x14ac:dyDescent="0.2">
      <c r="N199" s="2"/>
      <c r="O199" s="9"/>
      <c r="P199" s="9"/>
      <c r="Q199" s="3"/>
      <c r="T199" s="4"/>
    </row>
    <row r="200" spans="14:20" x14ac:dyDescent="0.2">
      <c r="N200" s="2"/>
      <c r="O200" s="9"/>
      <c r="P200" s="9"/>
      <c r="Q200" s="3"/>
      <c r="T200" s="4"/>
    </row>
    <row r="201" spans="14:20" x14ac:dyDescent="0.2">
      <c r="N201" s="2"/>
      <c r="O201" s="9"/>
      <c r="P201" s="9"/>
      <c r="Q201" s="3"/>
      <c r="T201" s="4"/>
    </row>
    <row r="202" spans="14:20" x14ac:dyDescent="0.2">
      <c r="N202" s="2"/>
      <c r="O202" s="9"/>
      <c r="P202" s="9"/>
      <c r="Q202" s="3"/>
      <c r="T202" s="4"/>
    </row>
    <row r="203" spans="14:20" x14ac:dyDescent="0.2">
      <c r="N203" s="2"/>
      <c r="O203" s="9"/>
      <c r="P203" s="9"/>
      <c r="Q203" s="3"/>
      <c r="T203" s="4"/>
    </row>
    <row r="204" spans="14:20" x14ac:dyDescent="0.2">
      <c r="N204" s="2"/>
      <c r="O204" s="9"/>
      <c r="P204" s="9"/>
      <c r="Q204" s="3"/>
      <c r="T204" s="4"/>
    </row>
    <row r="205" spans="14:20" x14ac:dyDescent="0.2">
      <c r="N205" s="2"/>
      <c r="O205" s="9"/>
      <c r="P205" s="9"/>
      <c r="Q205" s="3"/>
      <c r="T205" s="4"/>
    </row>
    <row r="206" spans="14:20" x14ac:dyDescent="0.2">
      <c r="N206" s="2"/>
      <c r="O206" s="9"/>
      <c r="P206" s="9"/>
      <c r="Q206" s="3"/>
      <c r="T206" s="4"/>
    </row>
    <row r="207" spans="14:20" x14ac:dyDescent="0.2">
      <c r="N207" s="2"/>
      <c r="O207" s="9"/>
      <c r="P207" s="9"/>
      <c r="Q207" s="3"/>
      <c r="T207" s="4"/>
    </row>
    <row r="208" spans="14:20" x14ac:dyDescent="0.2">
      <c r="N208" s="2"/>
      <c r="O208" s="9"/>
      <c r="P208" s="9"/>
      <c r="Q208" s="3"/>
      <c r="T208" s="4"/>
    </row>
    <row r="209" spans="14:20" x14ac:dyDescent="0.2">
      <c r="N209" s="2"/>
      <c r="O209" s="9"/>
      <c r="P209" s="9"/>
      <c r="Q209" s="3"/>
      <c r="T209" s="4"/>
    </row>
    <row r="210" spans="14:20" x14ac:dyDescent="0.2">
      <c r="N210" s="2"/>
      <c r="O210" s="9"/>
      <c r="P210" s="9"/>
      <c r="Q210" s="3"/>
      <c r="T210" s="4"/>
    </row>
    <row r="211" spans="14:20" x14ac:dyDescent="0.2">
      <c r="N211" s="2"/>
      <c r="O211" s="9"/>
      <c r="P211" s="9"/>
      <c r="Q211" s="3"/>
      <c r="T211" s="4"/>
    </row>
    <row r="212" spans="14:20" x14ac:dyDescent="0.2">
      <c r="N212" s="2"/>
      <c r="O212" s="9"/>
      <c r="P212" s="9"/>
      <c r="Q212" s="3"/>
      <c r="T212" s="4"/>
    </row>
    <row r="213" spans="14:20" x14ac:dyDescent="0.2">
      <c r="N213" s="2"/>
      <c r="O213" s="9"/>
      <c r="P213" s="9"/>
      <c r="Q213" s="3"/>
      <c r="T213" s="4"/>
    </row>
    <row r="214" spans="14:20" x14ac:dyDescent="0.2">
      <c r="N214" s="2"/>
      <c r="O214" s="9"/>
      <c r="P214" s="9"/>
      <c r="Q214" s="3"/>
      <c r="T214" s="4"/>
    </row>
    <row r="215" spans="14:20" x14ac:dyDescent="0.2">
      <c r="N215" s="2"/>
      <c r="O215" s="9"/>
      <c r="P215" s="9"/>
      <c r="Q215" s="3"/>
      <c r="T215" s="4"/>
    </row>
    <row r="216" spans="14:20" x14ac:dyDescent="0.2">
      <c r="N216" s="2"/>
      <c r="O216" s="9"/>
      <c r="P216" s="9"/>
      <c r="Q216" s="3"/>
      <c r="T216" s="4"/>
    </row>
    <row r="217" spans="14:20" x14ac:dyDescent="0.2">
      <c r="N217" s="2"/>
      <c r="O217" s="9"/>
      <c r="P217" s="9"/>
      <c r="Q217" s="3"/>
      <c r="T217" s="4"/>
    </row>
    <row r="218" spans="14:20" x14ac:dyDescent="0.2">
      <c r="N218" s="2"/>
      <c r="O218" s="9"/>
      <c r="P218" s="9"/>
      <c r="Q218" s="3"/>
      <c r="T218" s="4"/>
    </row>
    <row r="219" spans="14:20" x14ac:dyDescent="0.2">
      <c r="N219" s="2"/>
      <c r="O219" s="9"/>
      <c r="P219" s="9"/>
      <c r="Q219" s="3"/>
      <c r="T219" s="4"/>
    </row>
    <row r="220" spans="14:20" x14ac:dyDescent="0.2">
      <c r="N220" s="2"/>
      <c r="O220" s="9"/>
      <c r="P220" s="9"/>
      <c r="Q220" s="3"/>
      <c r="T220" s="4"/>
    </row>
    <row r="221" spans="14:20" x14ac:dyDescent="0.2">
      <c r="N221" s="2"/>
      <c r="O221" s="9"/>
      <c r="P221" s="9"/>
      <c r="Q221" s="3"/>
      <c r="T221" s="4"/>
    </row>
    <row r="222" spans="14:20" x14ac:dyDescent="0.2">
      <c r="N222" s="2"/>
      <c r="O222" s="9"/>
      <c r="P222" s="9"/>
      <c r="Q222" s="3"/>
      <c r="T222" s="4"/>
    </row>
    <row r="223" spans="14:20" x14ac:dyDescent="0.2">
      <c r="N223" s="2"/>
      <c r="O223" s="9"/>
      <c r="P223" s="9"/>
      <c r="Q223" s="3"/>
      <c r="T223" s="4"/>
    </row>
    <row r="224" spans="14:20" x14ac:dyDescent="0.2">
      <c r="N224" s="2"/>
      <c r="O224" s="9"/>
      <c r="P224" s="9"/>
      <c r="Q224" s="3"/>
      <c r="T224" s="4"/>
    </row>
    <row r="225" spans="14:20" x14ac:dyDescent="0.2">
      <c r="N225" s="2"/>
      <c r="O225" s="9"/>
      <c r="P225" s="9"/>
      <c r="Q225" s="3"/>
      <c r="T225" s="4"/>
    </row>
    <row r="226" spans="14:20" x14ac:dyDescent="0.2">
      <c r="N226" s="2"/>
      <c r="O226" s="9"/>
      <c r="P226" s="9"/>
      <c r="Q226" s="3"/>
      <c r="T226" s="4"/>
    </row>
    <row r="227" spans="14:20" x14ac:dyDescent="0.2">
      <c r="N227" s="2"/>
      <c r="O227" s="9"/>
      <c r="P227" s="9"/>
      <c r="Q227" s="3"/>
      <c r="T227" s="4"/>
    </row>
    <row r="228" spans="14:20" x14ac:dyDescent="0.2">
      <c r="N228" s="2"/>
      <c r="O228" s="9"/>
      <c r="P228" s="9"/>
      <c r="Q228" s="3"/>
      <c r="T228" s="4"/>
    </row>
    <row r="229" spans="14:20" x14ac:dyDescent="0.2">
      <c r="N229" s="2"/>
      <c r="O229" s="9"/>
      <c r="P229" s="9"/>
      <c r="Q229" s="3"/>
      <c r="T229" s="4"/>
    </row>
    <row r="230" spans="14:20" x14ac:dyDescent="0.2">
      <c r="N230" s="2"/>
      <c r="O230" s="9"/>
      <c r="P230" s="9"/>
      <c r="Q230" s="3"/>
      <c r="T230" s="4"/>
    </row>
    <row r="231" spans="14:20" x14ac:dyDescent="0.2">
      <c r="N231" s="2"/>
      <c r="O231" s="9"/>
      <c r="P231" s="9"/>
      <c r="Q231" s="3"/>
      <c r="T231" s="4"/>
    </row>
    <row r="232" spans="14:20" x14ac:dyDescent="0.2">
      <c r="N232" s="2"/>
      <c r="O232" s="9"/>
      <c r="P232" s="9"/>
      <c r="Q232" s="3"/>
      <c r="T232" s="4"/>
    </row>
    <row r="233" spans="14:20" x14ac:dyDescent="0.2">
      <c r="N233" s="2"/>
      <c r="O233" s="9"/>
      <c r="P233" s="9"/>
      <c r="Q233" s="3"/>
      <c r="T233" s="4"/>
    </row>
  </sheetData>
  <autoFilter ref="A1:T127" xr:uid="{110B072F-BF83-4710-9B62-81D8A296EF53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33A3-0C72-4E00-9C08-AB153B6F93C9}">
  <dimension ref="A1:D13"/>
  <sheetViews>
    <sheetView workbookViewId="0">
      <selection activeCell="B3" sqref="B3:C3"/>
    </sheetView>
  </sheetViews>
  <sheetFormatPr baseColWidth="10" defaultColWidth="32.6640625" defaultRowHeight="15" x14ac:dyDescent="0.2"/>
  <cols>
    <col min="1" max="1" width="9.1640625" bestFit="1" customWidth="1"/>
    <col min="2" max="2" width="25" bestFit="1" customWidth="1"/>
    <col min="3" max="3" width="22.1640625" bestFit="1" customWidth="1"/>
    <col min="4" max="4" width="8.1640625" bestFit="1" customWidth="1"/>
  </cols>
  <sheetData>
    <row r="1" spans="1:4" x14ac:dyDescent="0.2">
      <c r="A1" s="8" t="s">
        <v>35</v>
      </c>
      <c r="B1" s="8" t="s">
        <v>36</v>
      </c>
      <c r="C1" s="8" t="s">
        <v>37</v>
      </c>
      <c r="D1" s="8" t="s">
        <v>38</v>
      </c>
    </row>
    <row r="2" spans="1:4" ht="16" x14ac:dyDescent="0.2">
      <c r="A2" s="9" t="s">
        <v>15</v>
      </c>
      <c r="B2" s="9" t="s">
        <v>43</v>
      </c>
      <c r="C2" s="9" t="s">
        <v>42</v>
      </c>
      <c r="D2" s="10">
        <v>0.7</v>
      </c>
    </row>
    <row r="3" spans="1:4" ht="16" x14ac:dyDescent="0.2">
      <c r="A3" s="9" t="s">
        <v>24</v>
      </c>
      <c r="B3" s="9" t="s">
        <v>44</v>
      </c>
      <c r="C3" s="9" t="s">
        <v>42</v>
      </c>
      <c r="D3" s="10">
        <v>0.7</v>
      </c>
    </row>
    <row r="4" spans="1:4" ht="16" x14ac:dyDescent="0.2">
      <c r="A4" s="9" t="s">
        <v>23</v>
      </c>
      <c r="B4" s="9" t="s">
        <v>39</v>
      </c>
      <c r="C4" s="9" t="s">
        <v>40</v>
      </c>
      <c r="D4" s="10">
        <v>0.7</v>
      </c>
    </row>
    <row r="5" spans="1:4" ht="16" x14ac:dyDescent="0.2">
      <c r="A5" s="9" t="s">
        <v>26</v>
      </c>
      <c r="B5" s="9" t="s">
        <v>41</v>
      </c>
      <c r="C5" s="9" t="s">
        <v>42</v>
      </c>
      <c r="D5" s="10">
        <v>0.7</v>
      </c>
    </row>
    <row r="6" spans="1:4" ht="16" x14ac:dyDescent="0.2">
      <c r="A6" s="9" t="s">
        <v>25</v>
      </c>
      <c r="B6" s="9" t="s">
        <v>45</v>
      </c>
      <c r="C6" s="9" t="s">
        <v>40</v>
      </c>
      <c r="D6" s="10">
        <v>0.7</v>
      </c>
    </row>
    <row r="7" spans="1:4" x14ac:dyDescent="0.2">
      <c r="A7" s="9"/>
      <c r="B7" s="9"/>
      <c r="C7" s="9"/>
      <c r="D7" s="10"/>
    </row>
    <row r="8" spans="1:4" x14ac:dyDescent="0.2">
      <c r="A8" s="9"/>
      <c r="B8" s="9"/>
      <c r="C8" s="9"/>
      <c r="D8" s="10"/>
    </row>
    <row r="10" spans="1:4" x14ac:dyDescent="0.2">
      <c r="A10" s="9"/>
      <c r="B10" s="9"/>
      <c r="C10" s="9"/>
      <c r="D10" s="10"/>
    </row>
    <row r="11" spans="1:4" x14ac:dyDescent="0.2">
      <c r="A11" s="9"/>
      <c r="B11" s="9"/>
      <c r="C11" s="9"/>
      <c r="D11" s="10"/>
    </row>
    <row r="13" spans="1:4" x14ac:dyDescent="0.2">
      <c r="A13" s="9"/>
      <c r="B13" s="9"/>
      <c r="C13" s="9"/>
      <c r="D13" s="10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020F8421BDF24EBBFCCCD72F8D9C6B" ma:contentTypeVersion="16" ma:contentTypeDescription="Ein neues Dokument erstellen." ma:contentTypeScope="" ma:versionID="e655e350c2d17e26587b02ad0be19028">
  <xsd:schema xmlns:xsd="http://www.w3.org/2001/XMLSchema" xmlns:xs="http://www.w3.org/2001/XMLSchema" xmlns:p="http://schemas.microsoft.com/office/2006/metadata/properties" xmlns:ns2="7e86321d-6b17-4568-bef1-630c21e66a8e" xmlns:ns3="48667a6c-c357-4304-94a7-80ace3b92943" targetNamespace="http://schemas.microsoft.com/office/2006/metadata/properties" ma:root="true" ma:fieldsID="5f1510a8bea6f7b610b6c755a8b2457d" ns2:_="" ns3:_="">
    <xsd:import namespace="7e86321d-6b17-4568-bef1-630c21e66a8e"/>
    <xsd:import namespace="48667a6c-c357-4304-94a7-80ace3b929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6321d-6b17-4568-bef1-630c21e66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d7314786-1c5c-453b-ac0f-2b3cb94e13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67a6c-c357-4304-94a7-80ace3b9294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5453a86-a25a-4248-8cca-e9fa9c82489d}" ma:internalName="TaxCatchAll" ma:showField="CatchAllData" ma:web="48667a6c-c357-4304-94a7-80ace3b929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667a6c-c357-4304-94a7-80ace3b92943" xsi:nil="true"/>
    <lcf76f155ced4ddcb4097134ff3c332f xmlns="7e86321d-6b17-4568-bef1-630c21e66a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4D0FA2-4B87-4FF3-B504-CB2B14354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86321d-6b17-4568-bef1-630c21e66a8e"/>
    <ds:schemaRef ds:uri="48667a6c-c357-4304-94a7-80ace3b929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32741-8D4B-4750-9C95-A88425641A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457C43-DBA9-4A3D-89FE-D8F874B480FF}">
  <ds:schemaRefs>
    <ds:schemaRef ds:uri="http://schemas.microsoft.com/office/2006/metadata/properties"/>
    <ds:schemaRef ds:uri="http://schemas.microsoft.com/office/infopath/2007/PartnerControls"/>
    <ds:schemaRef ds:uri="48667a6c-c357-4304-94a7-80ace3b92943"/>
    <ds:schemaRef ds:uri="7e86321d-6b17-4568-bef1-630c21e66a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Kapavergleich</vt:lpstr>
      <vt:lpstr>Orders</vt:lpstr>
      <vt:lpstr>Maschinenstamm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Scherer</dc:creator>
  <cp:lastModifiedBy>Microsoft Office User</cp:lastModifiedBy>
  <dcterms:created xsi:type="dcterms:W3CDTF">2023-05-12T11:34:35Z</dcterms:created>
  <dcterms:modified xsi:type="dcterms:W3CDTF">2023-05-17T08:09:49Z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0x01010090020F8421BDF24EBBFCCCD72F8D9C6B</vt:lpwstr>
  </property>
  <property fmtid="{D5CDD505-2E9C-101B-9397-08002B2CF9AE}" pid="3" name="MediaServiceImageTags">
    <vt:lpwstr/>
  </property>
</Properties>
</file>